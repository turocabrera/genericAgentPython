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 codeName="ThisWorkbook"/>
  <mc:AlternateContent xmlns:mc="http://schemas.openxmlformats.org/markup-compatibility/2006">
    <mc:Choice Requires="x15">
      <x15ac:absPath xmlns:x15ac="http://schemas.microsoft.com/office/spreadsheetml/2010/11/ac" url="C:\z\desarrollo\varios\python\practica\trabajo\personal\LLM\origenes\"/>
    </mc:Choice>
  </mc:AlternateContent>
  <xr:revisionPtr revIDLastSave="0" documentId="8_{15B6EEAA-E6EA-47DE-96B4-8FBB649F97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istadoJueg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" i="1" l="1"/>
  <c r="J68" i="1"/>
  <c r="N2" i="1"/>
  <c r="N3" i="1"/>
  <c r="N4" i="1"/>
  <c r="N5" i="1"/>
  <c r="N6" i="1"/>
  <c r="N7" i="1"/>
  <c r="N8" i="1"/>
  <c r="N9" i="1"/>
  <c r="N10" i="1"/>
  <c r="N11" i="1"/>
  <c r="N12" i="1"/>
  <c r="N13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</calcChain>
</file>

<file path=xl/sharedStrings.xml><?xml version="1.0" encoding="utf-8"?>
<sst xmlns="http://schemas.openxmlformats.org/spreadsheetml/2006/main" count="748" uniqueCount="415">
  <si>
    <t>id</t>
  </si>
  <si>
    <t>Nombre</t>
  </si>
  <si>
    <t>Clave</t>
  </si>
  <si>
    <t>Empresa</t>
  </si>
  <si>
    <t>año</t>
  </si>
  <si>
    <t>Genero</t>
  </si>
  <si>
    <t>GameId</t>
  </si>
  <si>
    <t>Empresa Distribuidora</t>
  </si>
  <si>
    <t>Cantidad</t>
  </si>
  <si>
    <t>Genero descripción</t>
  </si>
  <si>
    <t>007: Licence to kill</t>
  </si>
  <si>
    <t>jbond</t>
  </si>
  <si>
    <t>IBM</t>
  </si>
  <si>
    <t>Plataformas</t>
  </si>
  <si>
    <t>Accolade</t>
  </si>
  <si>
    <t>Arcade</t>
  </si>
  <si>
    <t>4d Sport Boxing</t>
  </si>
  <si>
    <t>4dbox</t>
  </si>
  <si>
    <t>Distinctive Software</t>
  </si>
  <si>
    <t>Deportes</t>
  </si>
  <si>
    <t>Activision</t>
  </si>
  <si>
    <t>Autos</t>
  </si>
  <si>
    <t>4x4</t>
  </si>
  <si>
    <t>Epix</t>
  </si>
  <si>
    <t>Adventure Soft</t>
  </si>
  <si>
    <t>Aventura Conversacional</t>
  </si>
  <si>
    <t>688 Attack Submarine</t>
  </si>
  <si>
    <t>688sub</t>
  </si>
  <si>
    <t>Electronic Arts</t>
  </si>
  <si>
    <t>Submarinos</t>
  </si>
  <si>
    <t>Apogee</t>
  </si>
  <si>
    <t>Aventura Gráfica</t>
  </si>
  <si>
    <t>Ajax</t>
  </si>
  <si>
    <t>ajax</t>
  </si>
  <si>
    <t>Konami</t>
  </si>
  <si>
    <t>Naves</t>
  </si>
  <si>
    <t>Audiogenic Software ltd.</t>
  </si>
  <si>
    <t>Beat em up</t>
  </si>
  <si>
    <t>Alcatraz</t>
  </si>
  <si>
    <t>alcatraz</t>
  </si>
  <si>
    <t>Infogrames</t>
  </si>
  <si>
    <t>Aventuras AD</t>
  </si>
  <si>
    <t>Alladin</t>
  </si>
  <si>
    <t>aladdin</t>
  </si>
  <si>
    <t>Disney</t>
  </si>
  <si>
    <t>Blizzard</t>
  </si>
  <si>
    <t>Lucha</t>
  </si>
  <si>
    <t>alladin</t>
  </si>
  <si>
    <t>Blue Byte</t>
  </si>
  <si>
    <t>Alley Cat</t>
  </si>
  <si>
    <t>cat</t>
  </si>
  <si>
    <t>Boeder Software GmbH</t>
  </si>
  <si>
    <t>Another world</t>
  </si>
  <si>
    <t>another</t>
  </si>
  <si>
    <t>Delphine Software</t>
  </si>
  <si>
    <t>Broderbund</t>
  </si>
  <si>
    <t>Puzzles</t>
  </si>
  <si>
    <t>Arctic Moves</t>
  </si>
  <si>
    <t>arctic</t>
  </si>
  <si>
    <t>Image Works</t>
  </si>
  <si>
    <t>California Dreams</t>
  </si>
  <si>
    <t>Arkanoid</t>
  </si>
  <si>
    <t>arkanoid</t>
  </si>
  <si>
    <t>Sega</t>
  </si>
  <si>
    <t>Capcom</t>
  </si>
  <si>
    <t>Estrategia</t>
  </si>
  <si>
    <t>Armorik</t>
  </si>
  <si>
    <t>armorik</t>
  </si>
  <si>
    <t>Capstone Software</t>
  </si>
  <si>
    <t>Batman Return</t>
  </si>
  <si>
    <t>batman</t>
  </si>
  <si>
    <t>Coktel Vision</t>
  </si>
  <si>
    <t>Beneath a Steel Sky</t>
  </si>
  <si>
    <t>beneath</t>
  </si>
  <si>
    <t>Virgin Interactive</t>
  </si>
  <si>
    <t>Black Thorne</t>
  </si>
  <si>
    <t>blackthorne</t>
  </si>
  <si>
    <t>Blockout</t>
  </si>
  <si>
    <t>blockout</t>
  </si>
  <si>
    <t>Blues Brothers</t>
  </si>
  <si>
    <t>blue</t>
  </si>
  <si>
    <t>Titus</t>
  </si>
  <si>
    <t>Doka</t>
  </si>
  <si>
    <t>Brutal paws of fury</t>
  </si>
  <si>
    <t>brutal</t>
  </si>
  <si>
    <t>Gametek Inc</t>
  </si>
  <si>
    <t>Dynamix</t>
  </si>
  <si>
    <t>Bubble Bouble</t>
  </si>
  <si>
    <t>bubble</t>
  </si>
  <si>
    <t>Taito</t>
  </si>
  <si>
    <t>Electro Brian</t>
  </si>
  <si>
    <t>Budokan  the martial spirit</t>
  </si>
  <si>
    <t>budokan</t>
  </si>
  <si>
    <t>Burntime</t>
  </si>
  <si>
    <t>burne</t>
  </si>
  <si>
    <t>Ocean</t>
  </si>
  <si>
    <t>Elite System</t>
  </si>
  <si>
    <t>Cabal</t>
  </si>
  <si>
    <t>cabal</t>
  </si>
  <si>
    <t>California Games I</t>
  </si>
  <si>
    <t>cal1</t>
  </si>
  <si>
    <t>epix</t>
  </si>
  <si>
    <t>ERE Informatique</t>
  </si>
  <si>
    <t>California Games II</t>
  </si>
  <si>
    <t>cal2</t>
  </si>
  <si>
    <t>Flair Software ltd</t>
  </si>
  <si>
    <t>Chicago 90</t>
  </si>
  <si>
    <t>chicago90</t>
  </si>
  <si>
    <t>Cisco Heat</t>
  </si>
  <si>
    <t>cisco</t>
  </si>
  <si>
    <t>Gremlins Studio</t>
  </si>
  <si>
    <t>Code NAME Iceman</t>
  </si>
  <si>
    <t>iceman</t>
  </si>
  <si>
    <t>Sierra</t>
  </si>
  <si>
    <t>GTE Entertainment</t>
  </si>
  <si>
    <t>Crazy Cars II</t>
  </si>
  <si>
    <t>cc2</t>
  </si>
  <si>
    <t>Hi-Tech Expressions</t>
  </si>
  <si>
    <t>Crazy Cars III</t>
  </si>
  <si>
    <t>cc3</t>
  </si>
  <si>
    <t>Hollyware Entertainment</t>
  </si>
  <si>
    <t>Dino: Lost in Bedrock</t>
  </si>
  <si>
    <t>dino</t>
  </si>
  <si>
    <t>Diosa de Cozumel</t>
  </si>
  <si>
    <t>cozumel</t>
  </si>
  <si>
    <t>Donde esta Carmen Sandiego en el espacio?</t>
  </si>
  <si>
    <t>carmen3</t>
  </si>
  <si>
    <t>Donde esta Carmen Sandiego en el mundo?</t>
  </si>
  <si>
    <t>carmen1</t>
  </si>
  <si>
    <t>Kludgeware</t>
  </si>
  <si>
    <t>Donde esta Carmen Sandiego en el tiempo?</t>
  </si>
  <si>
    <t>carmen2</t>
  </si>
  <si>
    <t>Double Dragon</t>
  </si>
  <si>
    <t>dragon</t>
  </si>
  <si>
    <t>Learning</t>
  </si>
  <si>
    <t>Double Dragon II</t>
  </si>
  <si>
    <t>dragon2</t>
  </si>
  <si>
    <t>Loriciels</t>
  </si>
  <si>
    <t>Downhill challegner</t>
  </si>
  <si>
    <t>downhill</t>
  </si>
  <si>
    <t>LucasFilm</t>
  </si>
  <si>
    <t>Drascula</t>
  </si>
  <si>
    <t>drascula</t>
  </si>
  <si>
    <t>Microid</t>
  </si>
  <si>
    <t>Eden Blues</t>
  </si>
  <si>
    <t>eden</t>
  </si>
  <si>
    <t>Microprose</t>
  </si>
  <si>
    <t>El fetiche Maya</t>
  </si>
  <si>
    <t>maya</t>
  </si>
  <si>
    <t>Silmarils</t>
  </si>
  <si>
    <t>Microsoft</t>
  </si>
  <si>
    <t>Emmanuelle</t>
  </si>
  <si>
    <t>emmanuelle</t>
  </si>
  <si>
    <t>Millennium Interactive</t>
  </si>
  <si>
    <t>European Champions 1992</t>
  </si>
  <si>
    <t>european</t>
  </si>
  <si>
    <t>Mindscape</t>
  </si>
  <si>
    <t>Fifa 96</t>
  </si>
  <si>
    <t>fifa96</t>
  </si>
  <si>
    <t>Mirage</t>
  </si>
  <si>
    <t>Final Assault</t>
  </si>
  <si>
    <t>finala</t>
  </si>
  <si>
    <t>MPV Software</t>
  </si>
  <si>
    <t>Fire and Forget 2</t>
  </si>
  <si>
    <t>firef2</t>
  </si>
  <si>
    <t>Null</t>
  </si>
  <si>
    <t>Flashback</t>
  </si>
  <si>
    <t>flashback</t>
  </si>
  <si>
    <t>Gabriel Knight</t>
  </si>
  <si>
    <t>gk</t>
  </si>
  <si>
    <t>Opera</t>
  </si>
  <si>
    <t>Ghostbusters 2</t>
  </si>
  <si>
    <t>ghost2</t>
  </si>
  <si>
    <t>Papyrus Desing Group</t>
  </si>
  <si>
    <t>Godfather</t>
  </si>
  <si>
    <t>godfat</t>
  </si>
  <si>
    <t>US Gold</t>
  </si>
  <si>
    <t>Pendulo Estudio</t>
  </si>
  <si>
    <t>Golden Axe</t>
  </si>
  <si>
    <t>golden</t>
  </si>
  <si>
    <t>Polarware</t>
  </si>
  <si>
    <t>Goody Ladron</t>
  </si>
  <si>
    <t>goody</t>
  </si>
  <si>
    <t>Publishing International</t>
  </si>
  <si>
    <t>Grand Prix</t>
  </si>
  <si>
    <t>grandprix</t>
  </si>
  <si>
    <t>Rage Software</t>
  </si>
  <si>
    <t>Hallowen Harry</t>
  </si>
  <si>
    <t>hharry</t>
  </si>
  <si>
    <t>Ready Soft</t>
  </si>
  <si>
    <t>Home Alone 2</t>
  </si>
  <si>
    <t>halone2</t>
  </si>
  <si>
    <t>Hostage</t>
  </si>
  <si>
    <t>hostage</t>
  </si>
  <si>
    <t>Sensible Software</t>
  </si>
  <si>
    <t>Igor Objetivo Vikokahonia</t>
  </si>
  <si>
    <t>igor</t>
  </si>
  <si>
    <t>ShareData</t>
  </si>
  <si>
    <t>Indiana Jones and the Fate of Atlantis</t>
  </si>
  <si>
    <t>indy2</t>
  </si>
  <si>
    <t>Indiana Jones and the Last Crusade</t>
  </si>
  <si>
    <t>indy</t>
  </si>
  <si>
    <t>Indiana Jones and the Last Crusade Action Game</t>
  </si>
  <si>
    <t>indy3</t>
  </si>
  <si>
    <t>Indiana Jones and the temple of doom</t>
  </si>
  <si>
    <t>indy4</t>
  </si>
  <si>
    <t>Indianapolis 500</t>
  </si>
  <si>
    <t>india500</t>
  </si>
  <si>
    <t>Topo Soft</t>
  </si>
  <si>
    <t>Indy Car Racing</t>
  </si>
  <si>
    <t>india500ii</t>
  </si>
  <si>
    <t>Ubisoft</t>
  </si>
  <si>
    <t>International Soccer Challenge</t>
  </si>
  <si>
    <t>interna</t>
  </si>
  <si>
    <t>Ironman Off Road</t>
  </si>
  <si>
    <t>ironman</t>
  </si>
  <si>
    <t xml:space="preserve">Italy 90 </t>
  </si>
  <si>
    <t>italy90</t>
  </si>
  <si>
    <t>Westwood Studios</t>
  </si>
  <si>
    <t>Jack Flash Muting of the things</t>
  </si>
  <si>
    <t>jack</t>
  </si>
  <si>
    <t>Terrible Toybox</t>
  </si>
  <si>
    <t>Jammit</t>
  </si>
  <si>
    <t>jammit</t>
  </si>
  <si>
    <t>Indisruption</t>
  </si>
  <si>
    <t>Jimmy Connors tennis pro tour</t>
  </si>
  <si>
    <t>jimmy</t>
  </si>
  <si>
    <t>Jonny Quest Curse of the Mayan Warriors</t>
  </si>
  <si>
    <t>jquest</t>
  </si>
  <si>
    <t>Karateka</t>
  </si>
  <si>
    <t>karateka</t>
  </si>
  <si>
    <t>King of the Beach</t>
  </si>
  <si>
    <t>vbeach</t>
  </si>
  <si>
    <t>La Abadia del Crimen</t>
  </si>
  <si>
    <t>abadia</t>
  </si>
  <si>
    <t>Lakers vs Celtics</t>
  </si>
  <si>
    <t>lakers</t>
  </si>
  <si>
    <t>Lamborghini American Challenger</t>
  </si>
  <si>
    <t>lambor</t>
  </si>
  <si>
    <t xml:space="preserve">Last Ninja 2 Back with a vengeance </t>
  </si>
  <si>
    <t>ninja2</t>
  </si>
  <si>
    <t>Lethal Weapon</t>
  </si>
  <si>
    <t>lethal</t>
  </si>
  <si>
    <t>Lion King</t>
  </si>
  <si>
    <t>lion</t>
  </si>
  <si>
    <t>Livingstone 2</t>
  </si>
  <si>
    <t>living2</t>
  </si>
  <si>
    <t>Lode Runner</t>
  </si>
  <si>
    <t>runner</t>
  </si>
  <si>
    <t>Loom</t>
  </si>
  <si>
    <t>loom</t>
  </si>
  <si>
    <t>Los pasajeros del viento</t>
  </si>
  <si>
    <t>passwind</t>
  </si>
  <si>
    <t>Lotus The Ultimate Challenger</t>
  </si>
  <si>
    <t>lotus</t>
  </si>
  <si>
    <t>Luigi y Spagetti</t>
  </si>
  <si>
    <t>luigi</t>
  </si>
  <si>
    <t>Mach 3</t>
  </si>
  <si>
    <t>mach3</t>
  </si>
  <si>
    <t>Magic Jhonson MVP</t>
  </si>
  <si>
    <t>obasquet</t>
  </si>
  <si>
    <t>Manhattan Dealers</t>
  </si>
  <si>
    <t>manhatan</t>
  </si>
  <si>
    <t>Maniac Mansion</t>
  </si>
  <si>
    <t>maniac</t>
  </si>
  <si>
    <t>Maniac Mansion 2 day of The Tentacle</t>
  </si>
  <si>
    <t>tentacle</t>
  </si>
  <si>
    <t>Metal Mutant</t>
  </si>
  <si>
    <t>metal</t>
  </si>
  <si>
    <t>Mick</t>
  </si>
  <si>
    <t>mick</t>
  </si>
  <si>
    <t>Microsoft Decathlon</t>
  </si>
  <si>
    <t>olympic</t>
  </si>
  <si>
    <t>Misión Imposible 2</t>
  </si>
  <si>
    <t>mi2</t>
  </si>
  <si>
    <t>Monkey Island 2: Lechuck Revenge</t>
  </si>
  <si>
    <t>monkey2</t>
  </si>
  <si>
    <t>Monkey Island 3:</t>
  </si>
  <si>
    <t>monkey3</t>
  </si>
  <si>
    <t>Moonshine Raiders</t>
  </si>
  <si>
    <t>moonshine</t>
  </si>
  <si>
    <t>Motocross</t>
  </si>
  <si>
    <t>moto</t>
  </si>
  <si>
    <t>Murder on the Atlantic</t>
  </si>
  <si>
    <t>matlantic</t>
  </si>
  <si>
    <t>NBA Jam</t>
  </si>
  <si>
    <t>nba</t>
  </si>
  <si>
    <t>Nicky Boom</t>
  </si>
  <si>
    <t>nickybo</t>
  </si>
  <si>
    <t>Night Breed</t>
  </si>
  <si>
    <t>nightbreed</t>
  </si>
  <si>
    <t>Night Hunter</t>
  </si>
  <si>
    <t>nhunter</t>
  </si>
  <si>
    <t>Ninja Gaiden</t>
  </si>
  <si>
    <t>ninjag</t>
  </si>
  <si>
    <t>Ninja Gaiden 2</t>
  </si>
  <si>
    <t>ninjag2</t>
  </si>
  <si>
    <t>No Exit</t>
  </si>
  <si>
    <t>noexit</t>
  </si>
  <si>
    <t>Omnicron conspiracy</t>
  </si>
  <si>
    <t>omnicrom</t>
  </si>
  <si>
    <t>Operation Neptune</t>
  </si>
  <si>
    <t>neptune</t>
  </si>
  <si>
    <t>Operation Wolf</t>
  </si>
  <si>
    <t>wolf</t>
  </si>
  <si>
    <t>Outrun</t>
  </si>
  <si>
    <t>outrun</t>
  </si>
  <si>
    <t>Panza Kick Boxing</t>
  </si>
  <si>
    <t>panza</t>
  </si>
  <si>
    <t>Pharaoh Revenge</t>
  </si>
  <si>
    <t>pharaon</t>
  </si>
  <si>
    <t>Predator 2</t>
  </si>
  <si>
    <t>predator2</t>
  </si>
  <si>
    <t>Prehistorik</t>
  </si>
  <si>
    <t>prehisto</t>
  </si>
  <si>
    <t>Prince of Persia 2 the shadow and the flame</t>
  </si>
  <si>
    <t>prince2</t>
  </si>
  <si>
    <t>Principe of Persia</t>
  </si>
  <si>
    <t>prince</t>
  </si>
  <si>
    <t>Prohibition</t>
  </si>
  <si>
    <t>prohibi</t>
  </si>
  <si>
    <t>Quantoids of Nebulous IV</t>
  </si>
  <si>
    <t>nebulus</t>
  </si>
  <si>
    <t>Rambo III</t>
  </si>
  <si>
    <t>ramboiii</t>
  </si>
  <si>
    <t>Rastan</t>
  </si>
  <si>
    <t>rastan</t>
  </si>
  <si>
    <t>Red Storm Rising</t>
  </si>
  <si>
    <t>redstorm</t>
  </si>
  <si>
    <t>Revenge of defender</t>
  </si>
  <si>
    <t>revenge</t>
  </si>
  <si>
    <t>Rick Dangerous</t>
  </si>
  <si>
    <t>rick</t>
  </si>
  <si>
    <t>Rick Dangerous 2</t>
  </si>
  <si>
    <t>rick2</t>
  </si>
  <si>
    <t>Rugby</t>
  </si>
  <si>
    <t>rugbywc</t>
  </si>
  <si>
    <t>Sensible Soccer</t>
  </si>
  <si>
    <t>sensible</t>
  </si>
  <si>
    <t>Shinobi</t>
  </si>
  <si>
    <t>shinobi</t>
  </si>
  <si>
    <t>Simon the Sorcerer</t>
  </si>
  <si>
    <t>simon</t>
  </si>
  <si>
    <t>Simon the Sorcerer II</t>
  </si>
  <si>
    <t>simon2</t>
  </si>
  <si>
    <t>Skate Rock</t>
  </si>
  <si>
    <t>skaterock</t>
  </si>
  <si>
    <t>Skyshark</t>
  </si>
  <si>
    <t>skyshark</t>
  </si>
  <si>
    <t>Soccer</t>
  </si>
  <si>
    <t>soccer</t>
  </si>
  <si>
    <t>Space Harrier</t>
  </si>
  <si>
    <t>harriers</t>
  </si>
  <si>
    <t>starblade</t>
  </si>
  <si>
    <t>Street Fighter II Turbo</t>
  </si>
  <si>
    <t>street</t>
  </si>
  <si>
    <t>Strike Fleet</t>
  </si>
  <si>
    <t>strikefleet</t>
  </si>
  <si>
    <t>Striker</t>
  </si>
  <si>
    <t>striker</t>
  </si>
  <si>
    <t>Striker 95</t>
  </si>
  <si>
    <t>striker95</t>
  </si>
  <si>
    <t>Stunts</t>
  </si>
  <si>
    <t>stunts</t>
  </si>
  <si>
    <t xml:space="preserve">Summer Game 2 </t>
  </si>
  <si>
    <t>summerg2</t>
  </si>
  <si>
    <t>The Game summer Challenge</t>
  </si>
  <si>
    <t>summerg</t>
  </si>
  <si>
    <t>The Game winter Challenge</t>
  </si>
  <si>
    <t>winterg</t>
  </si>
  <si>
    <t>The Humans</t>
  </si>
  <si>
    <t>humans</t>
  </si>
  <si>
    <t>The Legend of Kyrandia</t>
  </si>
  <si>
    <t>lok</t>
  </si>
  <si>
    <t>The Lost Vikings</t>
  </si>
  <si>
    <t>vikings</t>
  </si>
  <si>
    <t>The Secret of Monkey Island</t>
  </si>
  <si>
    <t>monkey</t>
  </si>
  <si>
    <t>The Spys adventures in South America</t>
  </si>
  <si>
    <t>spy</t>
  </si>
  <si>
    <t>Titanic</t>
  </si>
  <si>
    <t>titanic</t>
  </si>
  <si>
    <t>Titus the Fox</t>
  </si>
  <si>
    <t>titus</t>
  </si>
  <si>
    <t>Turtles</t>
  </si>
  <si>
    <t>turtles</t>
  </si>
  <si>
    <t>Viaje al fin del mundo</t>
  </si>
  <si>
    <t>viajefin</t>
  </si>
  <si>
    <t>Volfied</t>
  </si>
  <si>
    <t>volfied</t>
  </si>
  <si>
    <t>Wings of Fury</t>
  </si>
  <si>
    <t>wings</t>
  </si>
  <si>
    <t>Winter Supersports 92</t>
  </si>
  <si>
    <t>winsuper</t>
  </si>
  <si>
    <t>World Game</t>
  </si>
  <si>
    <t>wgame</t>
  </si>
  <si>
    <t>World International Karate</t>
  </si>
  <si>
    <t>wkc</t>
  </si>
  <si>
    <t>World Karate Champions</t>
  </si>
  <si>
    <t>Wrath of the Demon</t>
  </si>
  <si>
    <t>wdemon</t>
  </si>
  <si>
    <t>Xenon 2 Megablast</t>
  </si>
  <si>
    <t>xenon2</t>
  </si>
  <si>
    <t>Thimbleedweed Park</t>
  </si>
  <si>
    <t>tpark</t>
  </si>
  <si>
    <t>Return to Monkey Island</t>
  </si>
  <si>
    <t>monkey5</t>
  </si>
  <si>
    <t>Nine witches</t>
  </si>
  <si>
    <t>nwitches</t>
  </si>
  <si>
    <t>Vlad Circus Descend Into Madness</t>
  </si>
  <si>
    <t>vcircus</t>
  </si>
  <si>
    <t>Vlad Circus Curse of Asmodeus</t>
  </si>
  <si>
    <t>vcircus2</t>
  </si>
  <si>
    <t>Thimbleedweed Park Delores adventure</t>
  </si>
  <si>
    <t>tparkdelores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</si>
</sst>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2"/>
    <xf numFmtId="0" fontId="0" fillId="0" borderId="0" xfId="0" applyNumberFormat="1" applyAlignment="1">
      <alignment vertical="top"/>
    </xf>
  </cellXfs>
  <cellStyles count="3">
    <cellStyle name="Hipervínculo" xfId="2" builtinId="8"/>
    <cellStyle name="Normal" xfId="0" builtinId="0"/>
    <cellStyle name="Normal 2" xfId="1" xr:uid="{00000000-0005-0000-0000-000002000000}"/>
  </cellStyles>
  <dxfs count="18"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H1:J69" totalsRowShown="0" headerRowDxfId="17" dataDxfId="16">
  <autoFilter ref="H1:J69" xr:uid="{00000000-0009-0000-0100-000001000000}"/>
  <sortState xmlns:xlrd2="http://schemas.microsoft.com/office/spreadsheetml/2017/richdata2" ref="H2:J67">
    <sortCondition ref="I1:I67"/>
  </sortState>
  <tableColumns count="3">
    <tableColumn id="3" xr3:uid="{00000000-0010-0000-0100-000003000000}" name="GameId" dataDxfId="15"/>
    <tableColumn id="1" xr3:uid="{00000000-0010-0000-0100-000001000000}" name="Empresa Distribuidora" dataDxfId="14"/>
    <tableColumn id="2" xr3:uid="{00000000-0010-0000-0100-000002000000}" name="Cantidad" dataDxfId="13">
      <calculatedColumnFormula>COUNTIF(D:D,Tabla1[[#This Row],[Empresa Distribuidora]])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a2" displayName="Tabla2" ref="A1:F165" totalsRowShown="0" headerRowDxfId="12" dataDxfId="11">
  <autoFilter ref="A1:F165" xr:uid="{00000000-0009-0000-0100-000002000000}"/>
  <sortState xmlns:xlrd2="http://schemas.microsoft.com/office/spreadsheetml/2017/richdata2" ref="A2:F159">
    <sortCondition ref="B1:B159"/>
  </sortState>
  <tableColumns count="6">
    <tableColumn id="6" xr3:uid="{00000000-0010-0000-0200-000006000000}" name="id" dataDxfId="10"/>
    <tableColumn id="1" xr3:uid="{00000000-0010-0000-0200-000001000000}" name="Nombre" dataDxfId="9"/>
    <tableColumn id="2" xr3:uid="{00000000-0010-0000-0200-000002000000}" name="Clave" dataDxfId="8"/>
    <tableColumn id="3" xr3:uid="{00000000-0010-0000-0200-000003000000}" name="Empresa" dataDxfId="7"/>
    <tableColumn id="4" xr3:uid="{00000000-0010-0000-0200-000004000000}" name="año" dataDxfId="6"/>
    <tableColumn id="5" xr3:uid="{00000000-0010-0000-0200-000005000000}" name="Genero" dataDxfId="5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a3" displayName="Tabla3" ref="L1:N13" totalsRowShown="0" headerRowDxfId="4" dataDxfId="3">
  <autoFilter ref="L1:N13" xr:uid="{00000000-0009-0000-0100-000003000000}"/>
  <sortState xmlns:xlrd2="http://schemas.microsoft.com/office/spreadsheetml/2017/richdata2" ref="M2:N11">
    <sortCondition ref="M1:M11"/>
  </sortState>
  <tableColumns count="3">
    <tableColumn id="3" xr3:uid="{00000000-0010-0000-0300-000003000000}" name="id" dataDxfId="2"/>
    <tableColumn id="1" xr3:uid="{00000000-0010-0000-0300-000001000000}" name="Genero descripción" dataDxfId="1"/>
    <tableColumn id="2" xr3:uid="{00000000-0010-0000-0300-000002000000}" name="Cantidad" dataDxfId="0">
      <calculatedColumnFormula>COUNTIF(F:F,Tabla3[[#This Row],[Genero descripción]])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N165"/>
  <sheetViews>
    <sheetView tabSelected="1" workbookViewId="0">
      <selection activeCell="H6" sqref="H6"/>
    </sheetView>
  </sheetViews>
  <sheetFormatPr defaultColWidth="11.5703125" defaultRowHeight="14.45"/>
  <cols>
    <col min="1" max="1" width="2.42578125" style="1" customWidth="1"/>
    <col min="2" max="2" width="38.42578125" style="1" customWidth="1"/>
    <col min="3" max="3" width="21" style="1" bestFit="1" customWidth="1"/>
    <col min="4" max="4" width="17.42578125" style="1" customWidth="1"/>
    <col min="5" max="5" width="7.85546875" style="1" customWidth="1"/>
    <col min="6" max="6" width="21.42578125" style="1" bestFit="1" customWidth="1"/>
    <col min="7" max="7" width="4.85546875" style="1" bestFit="1" customWidth="1"/>
    <col min="8" max="8" width="21.85546875" style="1" bestFit="1" customWidth="1"/>
    <col min="9" max="9" width="29.5703125" style="1" customWidth="1"/>
    <col min="10" max="10" width="11.42578125" style="1" customWidth="1"/>
    <col min="11" max="11" width="1.5703125" style="1" customWidth="1"/>
    <col min="12" max="12" width="26.42578125" style="1" customWidth="1"/>
    <col min="13" max="13" width="25.140625" style="1" customWidth="1"/>
    <col min="14" max="16384" width="11.5703125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L1" s="1" t="s">
        <v>0</v>
      </c>
      <c r="M1" s="1" t="s">
        <v>9</v>
      </c>
      <c r="N1" s="1" t="s">
        <v>8</v>
      </c>
    </row>
    <row r="2" spans="1:14">
      <c r="B2" s="1" t="s">
        <v>10</v>
      </c>
      <c r="C2" s="1" t="s">
        <v>11</v>
      </c>
      <c r="D2" s="1" t="s">
        <v>12</v>
      </c>
      <c r="E2" s="1">
        <v>1989</v>
      </c>
      <c r="F2" s="1" t="s">
        <v>13</v>
      </c>
      <c r="H2" s="2">
        <v>57</v>
      </c>
      <c r="I2" s="1" t="s">
        <v>14</v>
      </c>
      <c r="J2" s="1">
        <f>COUNTIF(D:D,Tabla1[[#This Row],[Empresa Distribuidora]])</f>
        <v>3</v>
      </c>
      <c r="L2" s="2">
        <v>1</v>
      </c>
      <c r="M2" s="2" t="s">
        <v>15</v>
      </c>
      <c r="N2" s="1">
        <f>COUNTIF(F:F,Tabla3[[#This Row],[Genero descripción]])</f>
        <v>13</v>
      </c>
    </row>
    <row r="3" spans="1:14">
      <c r="B3" s="1" t="s">
        <v>16</v>
      </c>
      <c r="C3" s="1" t="s">
        <v>17</v>
      </c>
      <c r="D3" s="1" t="s">
        <v>18</v>
      </c>
      <c r="E3" s="1">
        <v>1991</v>
      </c>
      <c r="F3" s="1" t="s">
        <v>19</v>
      </c>
      <c r="H3" s="2">
        <v>58</v>
      </c>
      <c r="I3" s="2" t="s">
        <v>20</v>
      </c>
      <c r="J3" s="1">
        <f>COUNTIF(D:D,Tabla1[[#This Row],[Empresa Distribuidora]])</f>
        <v>2</v>
      </c>
      <c r="L3" s="2">
        <v>2</v>
      </c>
      <c r="M3" s="2" t="s">
        <v>21</v>
      </c>
      <c r="N3" s="1">
        <f>COUNTIF(F:F,Tabla3[[#This Row],[Genero descripción]])</f>
        <v>14</v>
      </c>
    </row>
    <row r="4" spans="1:14">
      <c r="B4" s="1" t="s">
        <v>22</v>
      </c>
      <c r="C4" s="1" t="s">
        <v>22</v>
      </c>
      <c r="D4" s="1" t="s">
        <v>23</v>
      </c>
      <c r="E4" s="1">
        <v>1984</v>
      </c>
      <c r="F4" s="1" t="s">
        <v>21</v>
      </c>
      <c r="H4" s="2">
        <v>59</v>
      </c>
      <c r="I4" s="2" t="s">
        <v>24</v>
      </c>
      <c r="J4" s="1">
        <f>COUNTIF(D:D,Tabla1[[#This Row],[Empresa Distribuidora]])</f>
        <v>2</v>
      </c>
      <c r="L4" s="2">
        <v>3</v>
      </c>
      <c r="M4" s="2" t="s">
        <v>25</v>
      </c>
      <c r="N4" s="1">
        <f>COUNTIF(F:F,Tabla3[[#This Row],[Genero descripción]])</f>
        <v>7</v>
      </c>
    </row>
    <row r="5" spans="1:14">
      <c r="B5" s="1" t="s">
        <v>26</v>
      </c>
      <c r="C5" s="1" t="s">
        <v>27</v>
      </c>
      <c r="D5" s="1" t="s">
        <v>28</v>
      </c>
      <c r="E5" s="1">
        <v>1988</v>
      </c>
      <c r="F5" s="1" t="s">
        <v>29</v>
      </c>
      <c r="H5" s="2">
        <v>60</v>
      </c>
      <c r="I5" s="2" t="s">
        <v>30</v>
      </c>
      <c r="J5" s="1">
        <f>COUNTIF(D:D,Tabla1[[#This Row],[Empresa Distribuidora]])</f>
        <v>1</v>
      </c>
      <c r="L5" s="2">
        <v>4</v>
      </c>
      <c r="M5" s="2" t="s">
        <v>31</v>
      </c>
      <c r="N5" s="1">
        <f>COUNTIF(F:F,Tabla3[[#This Row],[Genero descripción]])</f>
        <v>30</v>
      </c>
    </row>
    <row r="6" spans="1:14">
      <c r="B6" s="1" t="s">
        <v>32</v>
      </c>
      <c r="C6" s="1" t="s">
        <v>33</v>
      </c>
      <c r="D6" s="1" t="s">
        <v>34</v>
      </c>
      <c r="E6" s="1">
        <v>1989</v>
      </c>
      <c r="F6" s="1" t="s">
        <v>35</v>
      </c>
      <c r="H6" s="2">
        <v>114</v>
      </c>
      <c r="I6" s="2" t="s">
        <v>36</v>
      </c>
      <c r="J6" s="1">
        <f>COUNTIF(D:D,Tabla1[[#This Row],[Empresa Distribuidora]])</f>
        <v>1</v>
      </c>
      <c r="L6" s="2">
        <v>5</v>
      </c>
      <c r="M6" s="2" t="s">
        <v>37</v>
      </c>
      <c r="N6" s="1">
        <f>COUNTIF(F:F,Tabla3[[#This Row],[Genero descripción]])</f>
        <v>5</v>
      </c>
    </row>
    <row r="7" spans="1:14">
      <c r="B7" s="1" t="s">
        <v>38</v>
      </c>
      <c r="C7" s="1" t="s">
        <v>39</v>
      </c>
      <c r="D7" s="1" t="s">
        <v>40</v>
      </c>
      <c r="E7" s="1">
        <v>1993</v>
      </c>
      <c r="F7" s="1" t="s">
        <v>13</v>
      </c>
      <c r="H7" s="2">
        <v>61</v>
      </c>
      <c r="I7" s="2" t="s">
        <v>41</v>
      </c>
      <c r="J7" s="1">
        <f>COUNTIF(D:D,Tabla1[[#This Row],[Empresa Distribuidora]])</f>
        <v>1</v>
      </c>
      <c r="L7" s="2">
        <v>6</v>
      </c>
      <c r="M7" s="2" t="s">
        <v>19</v>
      </c>
      <c r="N7" s="1">
        <f>COUNTIF(F:F,Tabla3[[#This Row],[Genero descripción]])</f>
        <v>29</v>
      </c>
    </row>
    <row r="8" spans="1:14">
      <c r="B8" s="1" t="s">
        <v>42</v>
      </c>
      <c r="C8" s="1" t="s">
        <v>43</v>
      </c>
      <c r="D8" s="1" t="s">
        <v>44</v>
      </c>
      <c r="E8" s="1">
        <v>1990</v>
      </c>
      <c r="F8" s="1" t="s">
        <v>13</v>
      </c>
      <c r="H8" s="2">
        <v>62</v>
      </c>
      <c r="I8" s="2" t="s">
        <v>45</v>
      </c>
      <c r="J8" s="1">
        <f>COUNTIF(D:D,Tabla1[[#This Row],[Empresa Distribuidora]])</f>
        <v>2</v>
      </c>
      <c r="L8" s="2">
        <v>7</v>
      </c>
      <c r="M8" s="2" t="s">
        <v>46</v>
      </c>
      <c r="N8" s="1">
        <f>COUNTIF(F:F,Tabla3[[#This Row],[Genero descripción]])</f>
        <v>5</v>
      </c>
    </row>
    <row r="9" spans="1:14">
      <c r="B9" s="1" t="s">
        <v>42</v>
      </c>
      <c r="C9" s="1" t="s">
        <v>47</v>
      </c>
      <c r="D9" s="1" t="s">
        <v>44</v>
      </c>
      <c r="E9" s="1">
        <v>1991</v>
      </c>
      <c r="F9" s="1" t="s">
        <v>13</v>
      </c>
      <c r="H9" s="2">
        <v>63</v>
      </c>
      <c r="I9" s="2" t="s">
        <v>48</v>
      </c>
      <c r="J9" s="1">
        <f>COUNTIF(D:D,Tabla1[[#This Row],[Empresa Distribuidora]])</f>
        <v>1</v>
      </c>
      <c r="L9" s="2">
        <v>8</v>
      </c>
      <c r="M9" s="2" t="s">
        <v>35</v>
      </c>
      <c r="N9" s="1">
        <f>COUNTIF(F:F,Tabla3[[#This Row],[Genero descripción]])</f>
        <v>8</v>
      </c>
    </row>
    <row r="10" spans="1:14">
      <c r="B10" s="1" t="s">
        <v>49</v>
      </c>
      <c r="C10" s="1" t="s">
        <v>50</v>
      </c>
      <c r="D10" s="1" t="s">
        <v>12</v>
      </c>
      <c r="E10" s="1">
        <v>1984</v>
      </c>
      <c r="F10" s="1" t="s">
        <v>13</v>
      </c>
      <c r="H10" s="2">
        <v>115</v>
      </c>
      <c r="I10" s="2" t="s">
        <v>51</v>
      </c>
      <c r="J10" s="1">
        <f>COUNTIF(D:D,Tabla1[[#This Row],[Empresa Distribuidora]])</f>
        <v>1</v>
      </c>
      <c r="L10" s="2">
        <v>9</v>
      </c>
      <c r="M10" s="2" t="s">
        <v>13</v>
      </c>
      <c r="N10" s="1">
        <f>COUNTIF(F:F,Tabla3[[#This Row],[Genero descripción]])</f>
        <v>45</v>
      </c>
    </row>
    <row r="11" spans="1:14">
      <c r="B11" s="1" t="s">
        <v>52</v>
      </c>
      <c r="C11" s="1" t="s">
        <v>53</v>
      </c>
      <c r="D11" s="1" t="s">
        <v>54</v>
      </c>
      <c r="E11" s="1">
        <v>1991</v>
      </c>
      <c r="F11" s="1" t="s">
        <v>13</v>
      </c>
      <c r="H11" s="2">
        <v>64</v>
      </c>
      <c r="I11" s="2" t="s">
        <v>55</v>
      </c>
      <c r="J11" s="1">
        <f>COUNTIF(D:D,Tabla1[[#This Row],[Empresa Distribuidora]])</f>
        <v>9</v>
      </c>
      <c r="L11" s="2">
        <v>10</v>
      </c>
      <c r="M11" s="2" t="s">
        <v>56</v>
      </c>
      <c r="N11" s="1">
        <f>COUNTIF(F:F,Tabla3[[#This Row],[Genero descripción]])</f>
        <v>4</v>
      </c>
    </row>
    <row r="12" spans="1:14">
      <c r="B12" s="1" t="s">
        <v>57</v>
      </c>
      <c r="C12" s="1" t="s">
        <v>58</v>
      </c>
      <c r="D12" s="1" t="s">
        <v>59</v>
      </c>
      <c r="E12" s="1">
        <v>1993</v>
      </c>
      <c r="F12" s="1" t="s">
        <v>13</v>
      </c>
      <c r="H12" s="2">
        <v>113</v>
      </c>
      <c r="I12" s="2" t="s">
        <v>60</v>
      </c>
      <c r="J12" s="1">
        <f>COUNTIF(D:D,Tabla1[[#This Row],[Empresa Distribuidora]])</f>
        <v>1</v>
      </c>
      <c r="L12" s="2">
        <v>11</v>
      </c>
      <c r="M12" s="2" t="s">
        <v>29</v>
      </c>
      <c r="N12" s="1">
        <f>COUNTIF(F:F,Tabla3[[#This Row],[Genero descripción]])</f>
        <v>3</v>
      </c>
    </row>
    <row r="13" spans="1:14">
      <c r="B13" s="1" t="s">
        <v>61</v>
      </c>
      <c r="C13" s="1" t="s">
        <v>62</v>
      </c>
      <c r="D13" s="1" t="s">
        <v>63</v>
      </c>
      <c r="E13" s="1">
        <v>1987</v>
      </c>
      <c r="F13" s="1" t="s">
        <v>15</v>
      </c>
      <c r="H13" s="2">
        <v>65</v>
      </c>
      <c r="I13" s="2" t="s">
        <v>64</v>
      </c>
      <c r="J13" s="1">
        <f>COUNTIF(D:D,Tabla1[[#This Row],[Empresa Distribuidora]])</f>
        <v>2</v>
      </c>
      <c r="L13" s="1">
        <v>12</v>
      </c>
      <c r="M13" s="1" t="s">
        <v>65</v>
      </c>
      <c r="N13" s="1">
        <f>COUNTIF(F:F,Tabla3[[#This Row],[Genero descripción]])</f>
        <v>1</v>
      </c>
    </row>
    <row r="14" spans="1:14">
      <c r="B14" s="1" t="s">
        <v>66</v>
      </c>
      <c r="C14" s="1" t="s">
        <v>67</v>
      </c>
      <c r="D14" s="1" t="s">
        <v>40</v>
      </c>
      <c r="E14" s="1">
        <v>1988</v>
      </c>
      <c r="F14" s="1" t="s">
        <v>13</v>
      </c>
      <c r="H14" s="2">
        <v>120</v>
      </c>
      <c r="I14" s="2" t="s">
        <v>68</v>
      </c>
      <c r="J14" s="1">
        <f>COUNTIF(D:D,Tabla1[[#This Row],[Empresa Distribuidora]])</f>
        <v>1</v>
      </c>
    </row>
    <row r="15" spans="1:14">
      <c r="B15" s="1" t="s">
        <v>69</v>
      </c>
      <c r="C15" s="1" t="s">
        <v>70</v>
      </c>
      <c r="D15" s="1" t="s">
        <v>34</v>
      </c>
      <c r="E15" s="1">
        <v>1992</v>
      </c>
      <c r="F15" s="1" t="s">
        <v>31</v>
      </c>
      <c r="H15" s="2">
        <v>66</v>
      </c>
      <c r="I15" s="2" t="s">
        <v>71</v>
      </c>
      <c r="J15" s="1">
        <f>COUNTIF(D:D,Tabla1[[#This Row],[Empresa Distribuidora]])</f>
        <v>2</v>
      </c>
    </row>
    <row r="16" spans="1:14">
      <c r="B16" s="1" t="s">
        <v>72</v>
      </c>
      <c r="C16" s="1" t="s">
        <v>73</v>
      </c>
      <c r="D16" s="1" t="s">
        <v>74</v>
      </c>
      <c r="E16" s="1">
        <v>1994</v>
      </c>
      <c r="F16" s="1" t="s">
        <v>31</v>
      </c>
      <c r="H16" s="2">
        <v>67</v>
      </c>
      <c r="I16" s="2" t="s">
        <v>54</v>
      </c>
      <c r="J16" s="1">
        <f>COUNTIF(D:D,Tabla1[[#This Row],[Empresa Distribuidora]])</f>
        <v>2</v>
      </c>
    </row>
    <row r="17" spans="2:10">
      <c r="B17" s="1" t="s">
        <v>75</v>
      </c>
      <c r="C17" s="1" t="s">
        <v>76</v>
      </c>
      <c r="D17" s="1" t="s">
        <v>45</v>
      </c>
      <c r="E17" s="1">
        <v>1994</v>
      </c>
      <c r="F17" s="1" t="s">
        <v>13</v>
      </c>
      <c r="H17" s="2">
        <v>68</v>
      </c>
      <c r="I17" s="2" t="s">
        <v>44</v>
      </c>
      <c r="J17" s="1">
        <f>COUNTIF(D:D,Tabla1[[#This Row],[Empresa Distribuidora]])</f>
        <v>4</v>
      </c>
    </row>
    <row r="18" spans="2:10">
      <c r="B18" s="1" t="s">
        <v>77</v>
      </c>
      <c r="C18" s="1" t="s">
        <v>78</v>
      </c>
      <c r="D18" s="1" t="s">
        <v>60</v>
      </c>
      <c r="E18" s="1">
        <v>1983</v>
      </c>
      <c r="F18" s="1" t="s">
        <v>56</v>
      </c>
      <c r="H18" s="2">
        <v>69</v>
      </c>
      <c r="I18" s="2" t="s">
        <v>18</v>
      </c>
      <c r="J18" s="1">
        <f>COUNTIF(D:D,Tabla1[[#This Row],[Empresa Distribuidora]])</f>
        <v>1</v>
      </c>
    </row>
    <row r="19" spans="2:10">
      <c r="B19" s="1" t="s">
        <v>79</v>
      </c>
      <c r="C19" s="1" t="s">
        <v>80</v>
      </c>
      <c r="D19" s="1" t="s">
        <v>81</v>
      </c>
      <c r="E19" s="1">
        <v>1991</v>
      </c>
      <c r="F19" s="1" t="s">
        <v>13</v>
      </c>
      <c r="H19" s="2">
        <v>70</v>
      </c>
      <c r="I19" s="2" t="s">
        <v>82</v>
      </c>
      <c r="J19" s="1">
        <f>COUNTIF(D:D,Tabla1[[#This Row],[Empresa Distribuidora]])</f>
        <v>1</v>
      </c>
    </row>
    <row r="20" spans="2:10">
      <c r="B20" s="1" t="s">
        <v>83</v>
      </c>
      <c r="C20" s="1" t="s">
        <v>84</v>
      </c>
      <c r="D20" s="1" t="s">
        <v>85</v>
      </c>
      <c r="E20" s="1">
        <v>1997</v>
      </c>
      <c r="F20" s="1" t="s">
        <v>46</v>
      </c>
      <c r="H20" s="2">
        <v>71</v>
      </c>
      <c r="I20" s="2" t="s">
        <v>86</v>
      </c>
      <c r="J20" s="1">
        <f>COUNTIF(D:D,Tabla1[[#This Row],[Empresa Distribuidora]])</f>
        <v>1</v>
      </c>
    </row>
    <row r="21" spans="2:10">
      <c r="B21" s="1" t="s">
        <v>87</v>
      </c>
      <c r="C21" s="1" t="s">
        <v>88</v>
      </c>
      <c r="D21" s="1" t="s">
        <v>89</v>
      </c>
      <c r="E21" s="1">
        <v>1989</v>
      </c>
      <c r="F21" s="1" t="s">
        <v>13</v>
      </c>
      <c r="H21" s="2">
        <v>72</v>
      </c>
      <c r="I21" s="2" t="s">
        <v>90</v>
      </c>
      <c r="J21" s="1">
        <f>COUNTIF(D:D,Tabla1[[#This Row],[Empresa Distribuidora]])</f>
        <v>1</v>
      </c>
    </row>
    <row r="22" spans="2:10">
      <c r="B22" s="1" t="s">
        <v>91</v>
      </c>
      <c r="C22" s="1" t="s">
        <v>92</v>
      </c>
      <c r="D22" s="1" t="s">
        <v>28</v>
      </c>
      <c r="E22" s="1">
        <v>1989</v>
      </c>
      <c r="F22" s="1" t="s">
        <v>46</v>
      </c>
      <c r="H22" s="2">
        <v>73</v>
      </c>
      <c r="I22" s="2" t="s">
        <v>28</v>
      </c>
      <c r="J22" s="1">
        <f>COUNTIF(D:D,Tabla1[[#This Row],[Empresa Distribuidora]])</f>
        <v>6</v>
      </c>
    </row>
    <row r="23" spans="2:10">
      <c r="B23" s="1" t="s">
        <v>93</v>
      </c>
      <c r="C23" s="1" t="s">
        <v>94</v>
      </c>
      <c r="D23" s="1" t="s">
        <v>95</v>
      </c>
      <c r="E23" s="1">
        <v>1993</v>
      </c>
      <c r="F23" s="1" t="s">
        <v>65</v>
      </c>
      <c r="H23" s="2">
        <v>74</v>
      </c>
      <c r="I23" s="2" t="s">
        <v>96</v>
      </c>
      <c r="J23" s="1">
        <f>COUNTIF(D:D,Tabla1[[#This Row],[Empresa Distribuidora]])</f>
        <v>1</v>
      </c>
    </row>
    <row r="24" spans="2:10">
      <c r="B24" s="1" t="s">
        <v>97</v>
      </c>
      <c r="C24" s="1" t="s">
        <v>98</v>
      </c>
      <c r="D24" s="1" t="s">
        <v>64</v>
      </c>
      <c r="E24" s="1">
        <v>1988</v>
      </c>
      <c r="F24" s="1" t="s">
        <v>15</v>
      </c>
      <c r="H24" s="2">
        <v>75</v>
      </c>
      <c r="I24" s="2" t="s">
        <v>23</v>
      </c>
      <c r="J24" s="1">
        <f>COUNTIF(D:D,Tabla1[[#This Row],[Empresa Distribuidora]])</f>
        <v>10</v>
      </c>
    </row>
    <row r="25" spans="2:10">
      <c r="B25" s="1" t="s">
        <v>99</v>
      </c>
      <c r="C25" s="1" t="s">
        <v>100</v>
      </c>
      <c r="D25" s="1" t="s">
        <v>101</v>
      </c>
      <c r="E25" s="1">
        <v>1988</v>
      </c>
      <c r="F25" s="1" t="s">
        <v>19</v>
      </c>
      <c r="H25" s="2">
        <v>116</v>
      </c>
      <c r="I25" s="2" t="s">
        <v>102</v>
      </c>
      <c r="J25" s="1">
        <f>COUNTIF(D:D,Tabla1[[#This Row],[Empresa Distribuidora]])</f>
        <v>1</v>
      </c>
    </row>
    <row r="26" spans="2:10">
      <c r="B26" s="1" t="s">
        <v>103</v>
      </c>
      <c r="C26" s="1" t="s">
        <v>104</v>
      </c>
      <c r="D26" s="1" t="s">
        <v>23</v>
      </c>
      <c r="E26" s="1">
        <v>1992</v>
      </c>
      <c r="F26" s="1" t="s">
        <v>19</v>
      </c>
      <c r="H26" s="2">
        <v>76</v>
      </c>
      <c r="I26" s="2" t="s">
        <v>105</v>
      </c>
      <c r="J26" s="1">
        <f>COUNTIF(D:D,Tabla1[[#This Row],[Empresa Distribuidora]])</f>
        <v>1</v>
      </c>
    </row>
    <row r="27" spans="2:10">
      <c r="B27" s="1" t="s">
        <v>106</v>
      </c>
      <c r="C27" s="1" t="s">
        <v>107</v>
      </c>
      <c r="D27" s="1" t="s">
        <v>51</v>
      </c>
      <c r="E27" s="1">
        <v>1989</v>
      </c>
      <c r="F27" s="1" t="s">
        <v>21</v>
      </c>
      <c r="H27" s="2">
        <v>77</v>
      </c>
      <c r="I27" s="2" t="s">
        <v>85</v>
      </c>
      <c r="J27" s="1">
        <f>COUNTIF(D:D,Tabla1[[#This Row],[Empresa Distribuidora]])</f>
        <v>1</v>
      </c>
    </row>
    <row r="28" spans="2:10">
      <c r="B28" s="1" t="s">
        <v>108</v>
      </c>
      <c r="C28" s="1" t="s">
        <v>109</v>
      </c>
      <c r="D28" s="1" t="s">
        <v>59</v>
      </c>
      <c r="E28" s="1">
        <v>1991</v>
      </c>
      <c r="F28" s="1" t="s">
        <v>21</v>
      </c>
      <c r="H28" s="2">
        <v>78</v>
      </c>
      <c r="I28" s="2" t="s">
        <v>110</v>
      </c>
      <c r="J28" s="1">
        <f>COUNTIF(D:D,Tabla1[[#This Row],[Empresa Distribuidora]])</f>
        <v>1</v>
      </c>
    </row>
    <row r="29" spans="2:10">
      <c r="B29" s="1" t="s">
        <v>111</v>
      </c>
      <c r="C29" s="1" t="s">
        <v>112</v>
      </c>
      <c r="D29" s="1" t="s">
        <v>113</v>
      </c>
      <c r="E29" s="1">
        <v>1988</v>
      </c>
      <c r="F29" s="1" t="s">
        <v>31</v>
      </c>
      <c r="H29" s="2">
        <v>121</v>
      </c>
      <c r="I29" s="2" t="s">
        <v>114</v>
      </c>
      <c r="J29" s="1">
        <f>COUNTIF(D:D,Tabla1[[#This Row],[Empresa Distribuidora]])</f>
        <v>1</v>
      </c>
    </row>
    <row r="30" spans="2:10">
      <c r="B30" s="1" t="s">
        <v>115</v>
      </c>
      <c r="C30" s="1" t="s">
        <v>116</v>
      </c>
      <c r="D30" s="1" t="s">
        <v>81</v>
      </c>
      <c r="E30" s="1">
        <v>1987</v>
      </c>
      <c r="F30" s="1" t="s">
        <v>21</v>
      </c>
      <c r="H30" s="2">
        <v>79</v>
      </c>
      <c r="I30" s="2" t="s">
        <v>117</v>
      </c>
      <c r="J30" s="1">
        <f>COUNTIF(D:D,Tabla1[[#This Row],[Empresa Distribuidora]])</f>
        <v>3</v>
      </c>
    </row>
    <row r="31" spans="2:10">
      <c r="B31" s="1" t="s">
        <v>118</v>
      </c>
      <c r="C31" s="1" t="s">
        <v>119</v>
      </c>
      <c r="D31" s="1" t="s">
        <v>81</v>
      </c>
      <c r="E31" s="1">
        <v>1992</v>
      </c>
      <c r="F31" s="1" t="s">
        <v>21</v>
      </c>
      <c r="H31" s="2">
        <v>118</v>
      </c>
      <c r="I31" s="2" t="s">
        <v>120</v>
      </c>
      <c r="J31" s="1">
        <f>COUNTIF(D:D,Tabla1[[#This Row],[Empresa Distribuidora]])</f>
        <v>1</v>
      </c>
    </row>
    <row r="32" spans="2:10">
      <c r="B32" s="1" t="s">
        <v>121</v>
      </c>
      <c r="C32" s="1" t="s">
        <v>122</v>
      </c>
      <c r="D32" s="1" t="s">
        <v>117</v>
      </c>
      <c r="E32" s="1">
        <v>1990</v>
      </c>
      <c r="F32" s="1" t="s">
        <v>13</v>
      </c>
      <c r="H32" s="2">
        <v>80</v>
      </c>
      <c r="I32" s="2" t="s">
        <v>12</v>
      </c>
      <c r="J32" s="1">
        <f>COUNTIF(D:D,Tabla1[[#This Row],[Empresa Distribuidora]])</f>
        <v>3</v>
      </c>
    </row>
    <row r="33" spans="2:10">
      <c r="B33" s="1" t="s">
        <v>123</v>
      </c>
      <c r="C33" s="1" t="s">
        <v>124</v>
      </c>
      <c r="D33" s="1" t="s">
        <v>41</v>
      </c>
      <c r="E33" s="1">
        <v>1990</v>
      </c>
      <c r="F33" s="1" t="s">
        <v>25</v>
      </c>
      <c r="H33" s="2">
        <v>81</v>
      </c>
      <c r="I33" s="2" t="s">
        <v>59</v>
      </c>
      <c r="J33" s="1">
        <f>COUNTIF(D:D,Tabla1[[#This Row],[Empresa Distribuidora]])</f>
        <v>4</v>
      </c>
    </row>
    <row r="34" spans="2:10">
      <c r="B34" s="1" t="s">
        <v>125</v>
      </c>
      <c r="C34" s="1" t="s">
        <v>126</v>
      </c>
      <c r="D34" s="1" t="s">
        <v>55</v>
      </c>
      <c r="E34" s="1">
        <v>1993</v>
      </c>
      <c r="F34" s="1" t="s">
        <v>25</v>
      </c>
      <c r="H34" s="2">
        <v>82</v>
      </c>
      <c r="I34" s="2" t="s">
        <v>40</v>
      </c>
      <c r="J34" s="1">
        <f>COUNTIF(D:D,Tabla1[[#This Row],[Empresa Distribuidora]])</f>
        <v>7</v>
      </c>
    </row>
    <row r="35" spans="2:10">
      <c r="B35" s="1" t="s">
        <v>127</v>
      </c>
      <c r="C35" s="1" t="s">
        <v>128</v>
      </c>
      <c r="D35" s="1" t="s">
        <v>55</v>
      </c>
      <c r="E35" s="1">
        <v>1990</v>
      </c>
      <c r="F35" s="1" t="s">
        <v>25</v>
      </c>
      <c r="H35" s="2">
        <v>122</v>
      </c>
      <c r="I35" s="2" t="s">
        <v>129</v>
      </c>
      <c r="J35" s="1">
        <f>COUNTIF(D:D,Tabla1[[#This Row],[Empresa Distribuidora]])</f>
        <v>1</v>
      </c>
    </row>
    <row r="36" spans="2:10">
      <c r="B36" s="1" t="s">
        <v>130</v>
      </c>
      <c r="C36" s="1" t="s">
        <v>131</v>
      </c>
      <c r="D36" s="1" t="s">
        <v>55</v>
      </c>
      <c r="E36" s="1">
        <v>1992</v>
      </c>
      <c r="F36" s="1" t="s">
        <v>25</v>
      </c>
      <c r="H36" s="2">
        <v>83</v>
      </c>
      <c r="I36" s="2" t="s">
        <v>34</v>
      </c>
      <c r="J36" s="1">
        <f>COUNTIF(D:D,Tabla1[[#This Row],[Empresa Distribuidora]])</f>
        <v>3</v>
      </c>
    </row>
    <row r="37" spans="2:10">
      <c r="B37" s="1" t="s">
        <v>132</v>
      </c>
      <c r="C37" s="1" t="s">
        <v>133</v>
      </c>
      <c r="D37" s="1" t="s">
        <v>89</v>
      </c>
      <c r="E37" s="1">
        <v>1988</v>
      </c>
      <c r="F37" s="1" t="s">
        <v>37</v>
      </c>
      <c r="H37" s="2">
        <v>84</v>
      </c>
      <c r="I37" s="2" t="s">
        <v>134</v>
      </c>
      <c r="J37" s="1">
        <f>COUNTIF(D:D,Tabla1[[#This Row],[Empresa Distribuidora]])</f>
        <v>1</v>
      </c>
    </row>
    <row r="38" spans="2:10">
      <c r="B38" s="1" t="s">
        <v>135</v>
      </c>
      <c r="C38" s="1" t="s">
        <v>136</v>
      </c>
      <c r="D38" s="1" t="s">
        <v>89</v>
      </c>
      <c r="E38" s="1">
        <v>1992</v>
      </c>
      <c r="F38" s="1" t="s">
        <v>37</v>
      </c>
      <c r="H38" s="2">
        <v>85</v>
      </c>
      <c r="I38" s="2" t="s">
        <v>137</v>
      </c>
      <c r="J38" s="1">
        <f>COUNTIF(D:D,Tabla1[[#This Row],[Empresa Distribuidora]])</f>
        <v>1</v>
      </c>
    </row>
    <row r="39" spans="2:10">
      <c r="B39" s="1" t="s">
        <v>138</v>
      </c>
      <c r="C39" s="1" t="s">
        <v>139</v>
      </c>
      <c r="D39" s="1" t="s">
        <v>55</v>
      </c>
      <c r="E39" s="1">
        <v>1988</v>
      </c>
      <c r="F39" s="1" t="s">
        <v>19</v>
      </c>
      <c r="H39" s="2">
        <v>86</v>
      </c>
      <c r="I39" s="2" t="s">
        <v>140</v>
      </c>
      <c r="J39" s="1">
        <f>COUNTIF(D:D,Tabla1[[#This Row],[Empresa Distribuidora]])</f>
        <v>10</v>
      </c>
    </row>
    <row r="40" spans="2:10">
      <c r="B40" s="1" t="s">
        <v>141</v>
      </c>
      <c r="C40" s="1" t="s">
        <v>142</v>
      </c>
      <c r="D40" s="1" t="s">
        <v>44</v>
      </c>
      <c r="E40" s="1">
        <v>1991</v>
      </c>
      <c r="F40" s="1" t="s">
        <v>31</v>
      </c>
      <c r="H40" s="2">
        <v>87</v>
      </c>
      <c r="I40" s="2" t="s">
        <v>143</v>
      </c>
      <c r="J40" s="1">
        <f>COUNTIF(D:D,Tabla1[[#This Row],[Empresa Distribuidora]])</f>
        <v>1</v>
      </c>
    </row>
    <row r="41" spans="2:10">
      <c r="B41" s="1" t="s">
        <v>144</v>
      </c>
      <c r="C41" s="1" t="s">
        <v>145</v>
      </c>
      <c r="D41" s="1" t="s">
        <v>102</v>
      </c>
      <c r="E41" s="1">
        <v>1989</v>
      </c>
      <c r="F41" s="1" t="s">
        <v>56</v>
      </c>
      <c r="H41" s="2">
        <v>88</v>
      </c>
      <c r="I41" s="2" t="s">
        <v>146</v>
      </c>
      <c r="J41" s="1">
        <f>COUNTIF(D:D,Tabla1[[#This Row],[Empresa Distribuidora]])</f>
        <v>5</v>
      </c>
    </row>
    <row r="42" spans="2:10">
      <c r="B42" s="1" t="s">
        <v>147</v>
      </c>
      <c r="C42" s="1" t="s">
        <v>148</v>
      </c>
      <c r="D42" s="1" t="s">
        <v>149</v>
      </c>
      <c r="E42" s="1">
        <v>1989</v>
      </c>
      <c r="F42" s="1" t="s">
        <v>31</v>
      </c>
      <c r="H42" s="2">
        <v>89</v>
      </c>
      <c r="I42" s="2" t="s">
        <v>150</v>
      </c>
      <c r="J42" s="1">
        <f>COUNTIF(D:D,Tabla1[[#This Row],[Empresa Distribuidora]])</f>
        <v>1</v>
      </c>
    </row>
    <row r="43" spans="2:10">
      <c r="B43" s="1" t="s">
        <v>151</v>
      </c>
      <c r="C43" s="1" t="s">
        <v>152</v>
      </c>
      <c r="D43" s="1" t="s">
        <v>71</v>
      </c>
      <c r="E43" s="1">
        <v>1986</v>
      </c>
      <c r="F43" s="1" t="s">
        <v>25</v>
      </c>
      <c r="H43" s="2">
        <v>90</v>
      </c>
      <c r="I43" s="2" t="s">
        <v>153</v>
      </c>
      <c r="J43" s="1">
        <f>COUNTIF(D:D,Tabla1[[#This Row],[Empresa Distribuidora]])</f>
        <v>1</v>
      </c>
    </row>
    <row r="44" spans="2:10">
      <c r="B44" s="1" t="s">
        <v>154</v>
      </c>
      <c r="C44" s="1" t="s">
        <v>155</v>
      </c>
      <c r="D44" s="1" t="s">
        <v>96</v>
      </c>
      <c r="E44" s="1">
        <v>1992</v>
      </c>
      <c r="F44" s="1" t="s">
        <v>19</v>
      </c>
      <c r="H44" s="2">
        <v>91</v>
      </c>
      <c r="I44" s="2" t="s">
        <v>156</v>
      </c>
      <c r="J44" s="1">
        <f>COUNTIF(D:D,Tabla1[[#This Row],[Empresa Distribuidora]])</f>
        <v>1</v>
      </c>
    </row>
    <row r="45" spans="2:10">
      <c r="B45" s="1" t="s">
        <v>157</v>
      </c>
      <c r="C45" s="1" t="s">
        <v>158</v>
      </c>
      <c r="D45" s="1" t="s">
        <v>28</v>
      </c>
      <c r="E45" s="1">
        <v>1996</v>
      </c>
      <c r="F45" s="1" t="s">
        <v>19</v>
      </c>
      <c r="H45" s="2">
        <v>92</v>
      </c>
      <c r="I45" s="2" t="s">
        <v>159</v>
      </c>
      <c r="J45" s="1">
        <f>COUNTIF(D:D,Tabla1[[#This Row],[Empresa Distribuidora]])</f>
        <v>1</v>
      </c>
    </row>
    <row r="46" spans="2:10">
      <c r="B46" s="1" t="s">
        <v>160</v>
      </c>
      <c r="C46" s="1" t="s">
        <v>161</v>
      </c>
      <c r="D46" s="1" t="s">
        <v>40</v>
      </c>
      <c r="E46" s="1">
        <v>1988</v>
      </c>
      <c r="F46" s="1" t="s">
        <v>13</v>
      </c>
      <c r="H46" s="2">
        <v>117</v>
      </c>
      <c r="I46" s="2" t="s">
        <v>162</v>
      </c>
      <c r="J46" s="1">
        <f>COUNTIF(D:D,Tabla1[[#This Row],[Empresa Distribuidora]])</f>
        <v>1</v>
      </c>
    </row>
    <row r="47" spans="2:10">
      <c r="B47" s="1" t="s">
        <v>163</v>
      </c>
      <c r="C47" s="1" t="s">
        <v>164</v>
      </c>
      <c r="D47" s="1" t="s">
        <v>81</v>
      </c>
      <c r="E47" s="1">
        <v>1990</v>
      </c>
      <c r="F47" s="1" t="s">
        <v>35</v>
      </c>
      <c r="H47" s="2">
        <v>93</v>
      </c>
      <c r="I47" s="2" t="s">
        <v>165</v>
      </c>
      <c r="J47" s="1">
        <f>COUNTIF(D:D,Tabla1[[#This Row],[Empresa Distribuidora]])</f>
        <v>0</v>
      </c>
    </row>
    <row r="48" spans="2:10">
      <c r="B48" s="1" t="s">
        <v>166</v>
      </c>
      <c r="C48" s="1" t="s">
        <v>167</v>
      </c>
      <c r="D48" s="1" t="s">
        <v>54</v>
      </c>
      <c r="E48" s="1">
        <v>1992</v>
      </c>
      <c r="F48" s="1" t="s">
        <v>13</v>
      </c>
      <c r="H48" s="2">
        <v>94</v>
      </c>
      <c r="I48" s="2" t="s">
        <v>95</v>
      </c>
      <c r="J48" s="1">
        <f>COUNTIF(D:D,Tabla1[[#This Row],[Empresa Distribuidora]])</f>
        <v>3</v>
      </c>
    </row>
    <row r="49" spans="2:13">
      <c r="B49" s="1" t="s">
        <v>168</v>
      </c>
      <c r="C49" s="1" t="s">
        <v>169</v>
      </c>
      <c r="D49" s="1" t="s">
        <v>113</v>
      </c>
      <c r="E49" s="1">
        <v>1993</v>
      </c>
      <c r="F49" s="1" t="s">
        <v>31</v>
      </c>
      <c r="H49" s="2">
        <v>95</v>
      </c>
      <c r="I49" s="2" t="s">
        <v>170</v>
      </c>
      <c r="J49" s="1">
        <f>COUNTIF(D:D,Tabla1[[#This Row],[Empresa Distribuidora]])</f>
        <v>3</v>
      </c>
    </row>
    <row r="50" spans="2:13">
      <c r="B50" s="1" t="s">
        <v>171</v>
      </c>
      <c r="C50" s="1" t="s">
        <v>172</v>
      </c>
      <c r="D50" s="1" t="s">
        <v>20</v>
      </c>
      <c r="E50" s="1">
        <v>1990</v>
      </c>
      <c r="F50" s="1" t="s">
        <v>15</v>
      </c>
      <c r="H50" s="2">
        <v>96</v>
      </c>
      <c r="I50" s="2" t="s">
        <v>173</v>
      </c>
      <c r="J50" s="1">
        <f>COUNTIF(D:D,Tabla1[[#This Row],[Empresa Distribuidora]])</f>
        <v>2</v>
      </c>
    </row>
    <row r="51" spans="2:13">
      <c r="B51" s="1" t="s">
        <v>174</v>
      </c>
      <c r="C51" s="1" t="s">
        <v>175</v>
      </c>
      <c r="D51" s="1" t="s">
        <v>176</v>
      </c>
      <c r="E51" s="1">
        <v>1991</v>
      </c>
      <c r="F51" s="1" t="s">
        <v>13</v>
      </c>
      <c r="H51" s="2">
        <v>97</v>
      </c>
      <c r="I51" s="2" t="s">
        <v>177</v>
      </c>
      <c r="J51" s="1">
        <f>COUNTIF(D:D,Tabla1[[#This Row],[Empresa Distribuidora]])</f>
        <v>1</v>
      </c>
    </row>
    <row r="52" spans="2:13">
      <c r="B52" s="1" t="s">
        <v>178</v>
      </c>
      <c r="C52" s="1" t="s">
        <v>179</v>
      </c>
      <c r="D52" s="1" t="s">
        <v>63</v>
      </c>
      <c r="E52" s="1">
        <v>1990</v>
      </c>
      <c r="F52" s="1" t="s">
        <v>37</v>
      </c>
      <c r="H52" s="2">
        <v>98</v>
      </c>
      <c r="I52" s="2" t="s">
        <v>180</v>
      </c>
      <c r="J52" s="1">
        <f>COUNTIF(D:D,Tabla1[[#This Row],[Empresa Distribuidora]])</f>
        <v>1</v>
      </c>
    </row>
    <row r="53" spans="2:13">
      <c r="B53" s="1" t="s">
        <v>181</v>
      </c>
      <c r="C53" s="1" t="s">
        <v>182</v>
      </c>
      <c r="D53" s="1" t="s">
        <v>170</v>
      </c>
      <c r="E53" s="1">
        <v>1987</v>
      </c>
      <c r="F53" s="1" t="s">
        <v>13</v>
      </c>
      <c r="H53" s="2">
        <v>119</v>
      </c>
      <c r="I53" s="2" t="s">
        <v>183</v>
      </c>
      <c r="J53" s="1">
        <f>COUNTIF(D:D,Tabla1[[#This Row],[Empresa Distribuidora]])</f>
        <v>1</v>
      </c>
    </row>
    <row r="54" spans="2:13">
      <c r="B54" s="1" t="s">
        <v>184</v>
      </c>
      <c r="C54" s="1" t="s">
        <v>185</v>
      </c>
      <c r="D54" s="1" t="s">
        <v>14</v>
      </c>
      <c r="E54" s="1">
        <v>1989</v>
      </c>
      <c r="F54" s="1" t="s">
        <v>21</v>
      </c>
      <c r="H54" s="2">
        <v>99</v>
      </c>
      <c r="I54" s="2" t="s">
        <v>186</v>
      </c>
      <c r="J54" s="1">
        <f>COUNTIF(D:D,Tabla1[[#This Row],[Empresa Distribuidora]])</f>
        <v>2</v>
      </c>
    </row>
    <row r="55" spans="2:13">
      <c r="B55" s="1" t="s">
        <v>187</v>
      </c>
      <c r="C55" s="1" t="s">
        <v>188</v>
      </c>
      <c r="D55" s="1" t="s">
        <v>30</v>
      </c>
      <c r="E55" s="1">
        <v>1993</v>
      </c>
      <c r="F55" s="1" t="s">
        <v>13</v>
      </c>
      <c r="H55" s="2">
        <v>100</v>
      </c>
      <c r="I55" s="2" t="s">
        <v>189</v>
      </c>
      <c r="J55" s="1">
        <f>COUNTIF(D:D,Tabla1[[#This Row],[Empresa Distribuidora]])</f>
        <v>1</v>
      </c>
    </row>
    <row r="56" spans="2:13">
      <c r="B56" s="1" t="s">
        <v>190</v>
      </c>
      <c r="C56" s="1" t="s">
        <v>191</v>
      </c>
      <c r="D56" s="1" t="s">
        <v>68</v>
      </c>
      <c r="E56" s="1">
        <v>1991</v>
      </c>
      <c r="F56" s="1" t="s">
        <v>13</v>
      </c>
      <c r="H56" s="2">
        <v>101</v>
      </c>
      <c r="I56" s="2" t="s">
        <v>63</v>
      </c>
      <c r="J56" s="1">
        <f>COUNTIF(D:D,Tabla1[[#This Row],[Empresa Distribuidora]])</f>
        <v>6</v>
      </c>
    </row>
    <row r="57" spans="2:13">
      <c r="B57" s="1" t="s">
        <v>192</v>
      </c>
      <c r="C57" s="1" t="s">
        <v>193</v>
      </c>
      <c r="D57" s="1" t="s">
        <v>40</v>
      </c>
      <c r="E57" s="1">
        <v>1989</v>
      </c>
      <c r="F57" s="1" t="s">
        <v>13</v>
      </c>
      <c r="H57" s="2">
        <v>102</v>
      </c>
      <c r="I57" s="2" t="s">
        <v>194</v>
      </c>
      <c r="J57" s="1">
        <f>COUNTIF(D:D,Tabla1[[#This Row],[Empresa Distribuidora]])</f>
        <v>1</v>
      </c>
    </row>
    <row r="58" spans="2:13">
      <c r="B58" s="1" t="s">
        <v>195</v>
      </c>
      <c r="C58" s="1" t="s">
        <v>196</v>
      </c>
      <c r="D58" s="1" t="s">
        <v>177</v>
      </c>
      <c r="E58" s="1">
        <v>1993</v>
      </c>
      <c r="F58" s="1" t="s">
        <v>31</v>
      </c>
      <c r="H58" s="2">
        <v>103</v>
      </c>
      <c r="I58" s="2" t="s">
        <v>197</v>
      </c>
      <c r="J58" s="1">
        <f>COUNTIF(D:D,Tabla1[[#This Row],[Empresa Distribuidora]])</f>
        <v>1</v>
      </c>
    </row>
    <row r="59" spans="2:13">
      <c r="B59" s="1" t="s">
        <v>198</v>
      </c>
      <c r="C59" s="1" t="s">
        <v>199</v>
      </c>
      <c r="D59" s="1" t="s">
        <v>140</v>
      </c>
      <c r="E59" s="1">
        <v>1992</v>
      </c>
      <c r="F59" s="1" t="s">
        <v>31</v>
      </c>
      <c r="H59" s="2">
        <v>104</v>
      </c>
      <c r="I59" s="2" t="s">
        <v>113</v>
      </c>
      <c r="J59" s="1">
        <f>COUNTIF(D:D,Tabla1[[#This Row],[Empresa Distribuidora]])</f>
        <v>2</v>
      </c>
    </row>
    <row r="60" spans="2:13">
      <c r="B60" s="1" t="s">
        <v>200</v>
      </c>
      <c r="C60" s="1" t="s">
        <v>201</v>
      </c>
      <c r="D60" s="1" t="s">
        <v>140</v>
      </c>
      <c r="E60" s="1">
        <v>1990</v>
      </c>
      <c r="F60" s="1" t="s">
        <v>31</v>
      </c>
      <c r="H60" s="2">
        <v>105</v>
      </c>
      <c r="I60" s="2" t="s">
        <v>149</v>
      </c>
      <c r="J60" s="1">
        <f>COUNTIF(D:D,Tabla1[[#This Row],[Empresa Distribuidora]])</f>
        <v>4</v>
      </c>
    </row>
    <row r="61" spans="2:13">
      <c r="B61" s="1" t="s">
        <v>202</v>
      </c>
      <c r="C61" s="1" t="s">
        <v>203</v>
      </c>
      <c r="D61" s="1" t="s">
        <v>140</v>
      </c>
      <c r="E61" s="1">
        <v>1989</v>
      </c>
      <c r="F61" s="1" t="s">
        <v>13</v>
      </c>
      <c r="H61" s="2">
        <v>106</v>
      </c>
      <c r="I61" s="2" t="s">
        <v>89</v>
      </c>
      <c r="J61" s="1">
        <f>COUNTIF(D:D,Tabla1[[#This Row],[Empresa Distribuidora]])</f>
        <v>8</v>
      </c>
      <c r="M61" s="3"/>
    </row>
    <row r="62" spans="2:13">
      <c r="B62" s="1" t="s">
        <v>204</v>
      </c>
      <c r="C62" s="1" t="s">
        <v>205</v>
      </c>
      <c r="D62" s="1" t="s">
        <v>156</v>
      </c>
      <c r="E62" s="1">
        <v>1989</v>
      </c>
      <c r="F62" s="1" t="s">
        <v>13</v>
      </c>
      <c r="H62" s="2">
        <v>107</v>
      </c>
      <c r="I62" s="2" t="s">
        <v>81</v>
      </c>
      <c r="J62" s="1">
        <f>COUNTIF(D:D,Tabla1[[#This Row],[Empresa Distribuidora]])</f>
        <v>7</v>
      </c>
    </row>
    <row r="63" spans="2:13">
      <c r="B63" s="1" t="s">
        <v>206</v>
      </c>
      <c r="C63" s="1" t="s">
        <v>207</v>
      </c>
      <c r="D63" s="1" t="s">
        <v>173</v>
      </c>
      <c r="E63" s="1">
        <v>1989</v>
      </c>
      <c r="F63" s="1" t="s">
        <v>21</v>
      </c>
      <c r="H63" s="2">
        <v>108</v>
      </c>
      <c r="I63" s="2" t="s">
        <v>208</v>
      </c>
      <c r="J63" s="1">
        <f>COUNTIF(D:D,Tabla1[[#This Row],[Empresa Distribuidora]])</f>
        <v>3</v>
      </c>
    </row>
    <row r="64" spans="2:13">
      <c r="B64" s="1" t="s">
        <v>209</v>
      </c>
      <c r="C64" s="1" t="s">
        <v>210</v>
      </c>
      <c r="D64" s="1" t="s">
        <v>173</v>
      </c>
      <c r="E64" s="1">
        <v>1993</v>
      </c>
      <c r="F64" s="1" t="s">
        <v>21</v>
      </c>
      <c r="H64" s="2">
        <v>110</v>
      </c>
      <c r="I64" s="2" t="s">
        <v>211</v>
      </c>
      <c r="J64" s="1">
        <f>COUNTIF(D:D,Tabla1[[#This Row],[Empresa Distribuidora]])</f>
        <v>1</v>
      </c>
    </row>
    <row r="65" spans="2:10">
      <c r="B65" s="1" t="s">
        <v>212</v>
      </c>
      <c r="C65" s="1" t="s">
        <v>213</v>
      </c>
      <c r="D65" s="1" t="s">
        <v>146</v>
      </c>
      <c r="E65" s="1">
        <v>1989</v>
      </c>
      <c r="F65" s="1" t="s">
        <v>19</v>
      </c>
      <c r="H65" s="2">
        <v>109</v>
      </c>
      <c r="I65" s="2" t="s">
        <v>176</v>
      </c>
      <c r="J65" s="1">
        <f>COUNTIF(D:D,Tabla1[[#This Row],[Empresa Distribuidora]])</f>
        <v>2</v>
      </c>
    </row>
    <row r="66" spans="2:10">
      <c r="B66" s="1" t="s">
        <v>214</v>
      </c>
      <c r="C66" s="1" t="s">
        <v>215</v>
      </c>
      <c r="D66" s="1" t="s">
        <v>12</v>
      </c>
      <c r="E66" s="1">
        <v>1989</v>
      </c>
      <c r="F66" s="1" t="s">
        <v>21</v>
      </c>
      <c r="H66" s="2">
        <v>111</v>
      </c>
      <c r="I66" s="2" t="s">
        <v>74</v>
      </c>
      <c r="J66" s="1">
        <f>COUNTIF(D:D,Tabla1[[#This Row],[Empresa Distribuidora]])</f>
        <v>2</v>
      </c>
    </row>
    <row r="67" spans="2:10">
      <c r="B67" s="1" t="s">
        <v>216</v>
      </c>
      <c r="C67" s="1" t="s">
        <v>217</v>
      </c>
      <c r="D67" s="1" t="s">
        <v>176</v>
      </c>
      <c r="E67" s="1">
        <v>1990</v>
      </c>
      <c r="F67" s="1" t="s">
        <v>19</v>
      </c>
      <c r="H67" s="2">
        <v>112</v>
      </c>
      <c r="I67" s="2" t="s">
        <v>218</v>
      </c>
      <c r="J67" s="1">
        <f>COUNTIF(D:D,Tabla1[[#This Row],[Empresa Distribuidora]])</f>
        <v>1</v>
      </c>
    </row>
    <row r="68" spans="2:10">
      <c r="B68" s="1" t="s">
        <v>219</v>
      </c>
      <c r="C68" s="1" t="s">
        <v>220</v>
      </c>
      <c r="D68" s="1" t="s">
        <v>162</v>
      </c>
      <c r="E68" s="1">
        <v>1994</v>
      </c>
      <c r="F68" s="1" t="s">
        <v>13</v>
      </c>
      <c r="H68" s="2">
        <v>113</v>
      </c>
      <c r="I68" s="2" t="s">
        <v>221</v>
      </c>
      <c r="J68" s="4">
        <f>COUNTIF(D:D,Tabla1[[#This Row],[Empresa Distribuidora]])</f>
        <v>3</v>
      </c>
    </row>
    <row r="69" spans="2:10">
      <c r="B69" s="1" t="s">
        <v>222</v>
      </c>
      <c r="C69" s="1" t="s">
        <v>223</v>
      </c>
      <c r="D69" s="1" t="s">
        <v>114</v>
      </c>
      <c r="E69" s="1">
        <v>1994</v>
      </c>
      <c r="F69" s="1" t="s">
        <v>19</v>
      </c>
      <c r="H69" s="2">
        <v>114</v>
      </c>
      <c r="I69" s="2" t="s">
        <v>224</v>
      </c>
      <c r="J69" s="4">
        <f>COUNTIF(D:D,Tabla1[[#This Row],[Empresa Distribuidora]])</f>
        <v>3</v>
      </c>
    </row>
    <row r="70" spans="2:10">
      <c r="B70" s="1" t="s">
        <v>225</v>
      </c>
      <c r="C70" s="1" t="s">
        <v>226</v>
      </c>
      <c r="D70" s="1" t="s">
        <v>48</v>
      </c>
      <c r="E70" s="1">
        <v>1991</v>
      </c>
      <c r="F70" s="1" t="s">
        <v>19</v>
      </c>
    </row>
    <row r="71" spans="2:10">
      <c r="B71" s="1" t="s">
        <v>227</v>
      </c>
      <c r="C71" s="1" t="s">
        <v>228</v>
      </c>
      <c r="D71" s="1" t="s">
        <v>120</v>
      </c>
      <c r="E71" s="1">
        <v>1993</v>
      </c>
      <c r="F71" s="1" t="s">
        <v>31</v>
      </c>
    </row>
    <row r="72" spans="2:10">
      <c r="B72" s="1" t="s">
        <v>229</v>
      </c>
      <c r="C72" s="1" t="s">
        <v>230</v>
      </c>
      <c r="D72" s="1" t="s">
        <v>55</v>
      </c>
      <c r="E72" s="1">
        <v>1984</v>
      </c>
      <c r="F72" s="1" t="s">
        <v>13</v>
      </c>
    </row>
    <row r="73" spans="2:10">
      <c r="B73" s="1" t="s">
        <v>231</v>
      </c>
      <c r="C73" s="1" t="s">
        <v>232</v>
      </c>
      <c r="D73" s="1" t="s">
        <v>28</v>
      </c>
      <c r="E73" s="1">
        <v>1988</v>
      </c>
      <c r="F73" s="1" t="s">
        <v>19</v>
      </c>
    </row>
    <row r="74" spans="2:10">
      <c r="B74" s="1" t="s">
        <v>233</v>
      </c>
      <c r="C74" s="1" t="s">
        <v>234</v>
      </c>
      <c r="D74" s="1" t="s">
        <v>170</v>
      </c>
      <c r="E74" s="1">
        <v>1987</v>
      </c>
      <c r="F74" s="1" t="s">
        <v>31</v>
      </c>
    </row>
    <row r="75" spans="2:10">
      <c r="B75" s="1" t="s">
        <v>235</v>
      </c>
      <c r="C75" s="1" t="s">
        <v>236</v>
      </c>
      <c r="D75" s="1" t="s">
        <v>28</v>
      </c>
      <c r="E75" s="1">
        <v>1989</v>
      </c>
      <c r="F75" s="1" t="s">
        <v>19</v>
      </c>
    </row>
    <row r="76" spans="2:10">
      <c r="B76" s="1" t="s">
        <v>237</v>
      </c>
      <c r="C76" s="1" t="s">
        <v>238</v>
      </c>
      <c r="D76" s="1" t="s">
        <v>81</v>
      </c>
      <c r="E76" s="1">
        <v>1994</v>
      </c>
      <c r="F76" s="1" t="s">
        <v>21</v>
      </c>
    </row>
    <row r="77" spans="2:10">
      <c r="B77" s="1" t="s">
        <v>239</v>
      </c>
      <c r="C77" s="1" t="s">
        <v>240</v>
      </c>
      <c r="D77" s="1" t="s">
        <v>20</v>
      </c>
      <c r="E77" s="1">
        <v>1990</v>
      </c>
      <c r="F77" s="1" t="s">
        <v>13</v>
      </c>
    </row>
    <row r="78" spans="2:10">
      <c r="B78" s="1" t="s">
        <v>241</v>
      </c>
      <c r="C78" s="1" t="s">
        <v>242</v>
      </c>
      <c r="D78" s="1" t="s">
        <v>95</v>
      </c>
      <c r="E78" s="1">
        <v>1992</v>
      </c>
      <c r="F78" s="1" t="s">
        <v>13</v>
      </c>
    </row>
    <row r="79" spans="2:10">
      <c r="B79" s="1" t="s">
        <v>243</v>
      </c>
      <c r="C79" s="1" t="s">
        <v>244</v>
      </c>
      <c r="D79" s="1" t="s">
        <v>44</v>
      </c>
      <c r="E79" s="1">
        <v>1992</v>
      </c>
      <c r="F79" s="1" t="s">
        <v>13</v>
      </c>
    </row>
    <row r="80" spans="2:10">
      <c r="B80" s="1" t="s">
        <v>245</v>
      </c>
      <c r="C80" s="1" t="s">
        <v>246</v>
      </c>
      <c r="D80" s="1" t="s">
        <v>170</v>
      </c>
      <c r="E80" s="1">
        <v>1989</v>
      </c>
      <c r="F80" s="1" t="s">
        <v>13</v>
      </c>
    </row>
    <row r="81" spans="2:6">
      <c r="B81" s="1" t="s">
        <v>247</v>
      </c>
      <c r="C81" s="1" t="s">
        <v>248</v>
      </c>
      <c r="D81" s="1" t="s">
        <v>55</v>
      </c>
      <c r="E81" s="1">
        <v>1983</v>
      </c>
      <c r="F81" s="1" t="s">
        <v>15</v>
      </c>
    </row>
    <row r="82" spans="2:6">
      <c r="B82" s="1" t="s">
        <v>249</v>
      </c>
      <c r="C82" s="1" t="s">
        <v>250</v>
      </c>
      <c r="D82" s="1" t="s">
        <v>140</v>
      </c>
      <c r="E82" s="1">
        <v>1990</v>
      </c>
      <c r="F82" s="1" t="s">
        <v>31</v>
      </c>
    </row>
    <row r="83" spans="2:6">
      <c r="B83" s="1" t="s">
        <v>251</v>
      </c>
      <c r="C83" s="1" t="s">
        <v>252</v>
      </c>
      <c r="D83" s="1" t="s">
        <v>40</v>
      </c>
      <c r="E83" s="1">
        <v>1987</v>
      </c>
      <c r="F83" s="1" t="s">
        <v>25</v>
      </c>
    </row>
    <row r="84" spans="2:6">
      <c r="B84" s="1" t="s">
        <v>253</v>
      </c>
      <c r="C84" s="1" t="s">
        <v>254</v>
      </c>
      <c r="D84" s="1" t="s">
        <v>110</v>
      </c>
      <c r="E84" s="1">
        <v>1993</v>
      </c>
      <c r="F84" s="1" t="s">
        <v>21</v>
      </c>
    </row>
    <row r="85" spans="2:6">
      <c r="B85" s="1" t="s">
        <v>255</v>
      </c>
      <c r="C85" s="1" t="s">
        <v>256</v>
      </c>
      <c r="D85" s="1" t="s">
        <v>208</v>
      </c>
      <c r="E85" s="1">
        <v>1992</v>
      </c>
      <c r="F85" s="1" t="s">
        <v>15</v>
      </c>
    </row>
    <row r="86" spans="2:6">
      <c r="B86" s="1" t="s">
        <v>257</v>
      </c>
      <c r="C86" s="1" t="s">
        <v>258</v>
      </c>
      <c r="D86" s="1" t="s">
        <v>137</v>
      </c>
      <c r="E86" s="1">
        <v>1987</v>
      </c>
      <c r="F86" s="1" t="s">
        <v>35</v>
      </c>
    </row>
    <row r="87" spans="2:6">
      <c r="B87" s="1" t="s">
        <v>259</v>
      </c>
      <c r="C87" s="1" t="s">
        <v>260</v>
      </c>
      <c r="D87" s="1" t="s">
        <v>74</v>
      </c>
      <c r="E87" s="1">
        <v>1988</v>
      </c>
      <c r="F87" s="1" t="s">
        <v>19</v>
      </c>
    </row>
    <row r="88" spans="2:6">
      <c r="B88" s="1" t="s">
        <v>261</v>
      </c>
      <c r="C88" s="1" t="s">
        <v>262</v>
      </c>
      <c r="D88" s="1" t="s">
        <v>149</v>
      </c>
      <c r="E88" s="1">
        <v>1986</v>
      </c>
      <c r="F88" s="1" t="s">
        <v>37</v>
      </c>
    </row>
    <row r="89" spans="2:6">
      <c r="B89" s="1" t="s">
        <v>263</v>
      </c>
      <c r="C89" s="1" t="s">
        <v>264</v>
      </c>
      <c r="D89" s="1" t="s">
        <v>140</v>
      </c>
      <c r="E89" s="1">
        <v>1988</v>
      </c>
      <c r="F89" s="1" t="s">
        <v>31</v>
      </c>
    </row>
    <row r="90" spans="2:6">
      <c r="B90" s="1" t="s">
        <v>265</v>
      </c>
      <c r="C90" s="1" t="s">
        <v>266</v>
      </c>
      <c r="D90" s="1" t="s">
        <v>140</v>
      </c>
      <c r="E90" s="1">
        <v>1993</v>
      </c>
      <c r="F90" s="1" t="s">
        <v>31</v>
      </c>
    </row>
    <row r="91" spans="2:6">
      <c r="B91" s="1" t="s">
        <v>267</v>
      </c>
      <c r="C91" s="1" t="s">
        <v>268</v>
      </c>
      <c r="D91" s="1" t="s">
        <v>149</v>
      </c>
      <c r="E91" s="1">
        <v>1991</v>
      </c>
      <c r="F91" s="1" t="s">
        <v>13</v>
      </c>
    </row>
    <row r="92" spans="2:6">
      <c r="B92" s="1" t="s">
        <v>269</v>
      </c>
      <c r="C92" s="1" t="s">
        <v>270</v>
      </c>
      <c r="D92" s="1" t="s">
        <v>82</v>
      </c>
      <c r="E92" s="1">
        <v>1993</v>
      </c>
      <c r="F92" s="1" t="s">
        <v>13</v>
      </c>
    </row>
    <row r="93" spans="2:6">
      <c r="B93" s="1" t="s">
        <v>271</v>
      </c>
      <c r="C93" s="1" t="s">
        <v>272</v>
      </c>
      <c r="D93" s="1" t="s">
        <v>150</v>
      </c>
      <c r="E93" s="1">
        <v>1982</v>
      </c>
      <c r="F93" s="1" t="s">
        <v>19</v>
      </c>
    </row>
    <row r="94" spans="2:6">
      <c r="B94" s="1" t="s">
        <v>273</v>
      </c>
      <c r="C94" s="1" t="s">
        <v>274</v>
      </c>
      <c r="D94" s="1" t="s">
        <v>23</v>
      </c>
      <c r="E94" s="1">
        <v>1988</v>
      </c>
      <c r="F94" s="1" t="s">
        <v>13</v>
      </c>
    </row>
    <row r="95" spans="2:6">
      <c r="B95" s="1" t="s">
        <v>275</v>
      </c>
      <c r="C95" s="1" t="s">
        <v>276</v>
      </c>
      <c r="D95" s="1" t="s">
        <v>140</v>
      </c>
      <c r="E95" s="1">
        <v>1992</v>
      </c>
      <c r="F95" s="1" t="s">
        <v>31</v>
      </c>
    </row>
    <row r="96" spans="2:6">
      <c r="B96" s="1" t="s">
        <v>277</v>
      </c>
      <c r="C96" s="1" t="s">
        <v>278</v>
      </c>
      <c r="D96" s="1" t="s">
        <v>140</v>
      </c>
      <c r="E96" s="1">
        <v>1993</v>
      </c>
      <c r="F96" s="1" t="s">
        <v>31</v>
      </c>
    </row>
    <row r="97" spans="2:6">
      <c r="B97" s="1" t="s">
        <v>279</v>
      </c>
      <c r="C97" s="1" t="s">
        <v>280</v>
      </c>
      <c r="D97" s="1" t="s">
        <v>153</v>
      </c>
      <c r="E97" s="1">
        <v>1996</v>
      </c>
      <c r="F97" s="1" t="s">
        <v>21</v>
      </c>
    </row>
    <row r="98" spans="2:6">
      <c r="B98" s="1" t="s">
        <v>281</v>
      </c>
      <c r="C98" s="1" t="s">
        <v>282</v>
      </c>
      <c r="D98" s="1" t="s">
        <v>86</v>
      </c>
      <c r="E98" s="1">
        <v>1988</v>
      </c>
      <c r="F98" s="1" t="s">
        <v>19</v>
      </c>
    </row>
    <row r="99" spans="2:6">
      <c r="B99" s="1" t="s">
        <v>283</v>
      </c>
      <c r="C99" s="1" t="s">
        <v>284</v>
      </c>
      <c r="D99" s="1" t="s">
        <v>40</v>
      </c>
      <c r="E99" s="1">
        <v>1987</v>
      </c>
      <c r="F99" s="1" t="s">
        <v>31</v>
      </c>
    </row>
    <row r="100" spans="2:6">
      <c r="B100" s="1" t="s">
        <v>285</v>
      </c>
      <c r="C100" s="1" t="s">
        <v>286</v>
      </c>
      <c r="D100" s="1" t="s">
        <v>28</v>
      </c>
      <c r="E100" s="1">
        <v>1995</v>
      </c>
      <c r="F100" s="1" t="s">
        <v>19</v>
      </c>
    </row>
    <row r="101" spans="2:6">
      <c r="B101" s="1" t="s">
        <v>287</v>
      </c>
      <c r="C101" s="1" t="s">
        <v>288</v>
      </c>
      <c r="D101" s="1" t="s">
        <v>143</v>
      </c>
      <c r="E101" s="1">
        <v>1992</v>
      </c>
      <c r="F101" s="1" t="s">
        <v>13</v>
      </c>
    </row>
    <row r="102" spans="2:6">
      <c r="B102" s="1" t="s">
        <v>289</v>
      </c>
      <c r="C102" s="1" t="s">
        <v>290</v>
      </c>
      <c r="D102" s="1" t="s">
        <v>95</v>
      </c>
      <c r="E102" s="1">
        <v>1990</v>
      </c>
      <c r="F102" s="1" t="s">
        <v>15</v>
      </c>
    </row>
    <row r="103" spans="2:6">
      <c r="B103" s="1" t="s">
        <v>291</v>
      </c>
      <c r="C103" s="1" t="s">
        <v>292</v>
      </c>
      <c r="D103" s="1" t="s">
        <v>211</v>
      </c>
      <c r="E103" s="1">
        <v>1988</v>
      </c>
      <c r="F103" s="1" t="s">
        <v>13</v>
      </c>
    </row>
    <row r="104" spans="2:6">
      <c r="B104" s="1" t="s">
        <v>293</v>
      </c>
      <c r="C104" s="1" t="s">
        <v>294</v>
      </c>
      <c r="D104" s="1" t="s">
        <v>117</v>
      </c>
      <c r="E104" s="1">
        <v>1990</v>
      </c>
      <c r="F104" s="1" t="s">
        <v>13</v>
      </c>
    </row>
    <row r="105" spans="2:6">
      <c r="B105" s="1" t="s">
        <v>295</v>
      </c>
      <c r="C105" s="1" t="s">
        <v>296</v>
      </c>
      <c r="D105" s="1" t="s">
        <v>117</v>
      </c>
      <c r="E105" s="1">
        <v>1991</v>
      </c>
      <c r="F105" s="1" t="s">
        <v>13</v>
      </c>
    </row>
    <row r="106" spans="2:6">
      <c r="B106" s="1" t="s">
        <v>297</v>
      </c>
      <c r="C106" s="1" t="s">
        <v>298</v>
      </c>
      <c r="D106" s="1" t="s">
        <v>71</v>
      </c>
      <c r="E106" s="1">
        <v>1990</v>
      </c>
      <c r="F106" s="1" t="s">
        <v>46</v>
      </c>
    </row>
    <row r="107" spans="2:6">
      <c r="B107" s="1" t="s">
        <v>299</v>
      </c>
      <c r="C107" s="1" t="s">
        <v>300</v>
      </c>
      <c r="D107" s="1" t="s">
        <v>23</v>
      </c>
      <c r="E107" s="1">
        <v>1989</v>
      </c>
      <c r="F107" s="1" t="s">
        <v>31</v>
      </c>
    </row>
    <row r="108" spans="2:6">
      <c r="B108" s="1" t="s">
        <v>301</v>
      </c>
      <c r="C108" s="1" t="s">
        <v>302</v>
      </c>
      <c r="D108" s="1" t="s">
        <v>134</v>
      </c>
      <c r="E108" s="1">
        <v>1991</v>
      </c>
      <c r="F108" s="1" t="s">
        <v>15</v>
      </c>
    </row>
    <row r="109" spans="2:6">
      <c r="B109" s="1" t="s">
        <v>303</v>
      </c>
      <c r="C109" s="1" t="s">
        <v>304</v>
      </c>
      <c r="D109" s="1" t="s">
        <v>89</v>
      </c>
      <c r="E109" s="1">
        <v>1987</v>
      </c>
      <c r="F109" s="1" t="s">
        <v>13</v>
      </c>
    </row>
    <row r="110" spans="2:6">
      <c r="B110" s="1" t="s">
        <v>305</v>
      </c>
      <c r="C110" s="1" t="s">
        <v>306</v>
      </c>
      <c r="D110" s="1" t="s">
        <v>63</v>
      </c>
      <c r="E110" s="1">
        <v>1986</v>
      </c>
      <c r="F110" s="1" t="s">
        <v>21</v>
      </c>
    </row>
    <row r="111" spans="2:6">
      <c r="B111" s="1" t="s">
        <v>307</v>
      </c>
      <c r="C111" s="1" t="s">
        <v>308</v>
      </c>
      <c r="D111" s="1" t="s">
        <v>90</v>
      </c>
      <c r="E111" s="1">
        <v>1992</v>
      </c>
      <c r="F111" s="1" t="s">
        <v>46</v>
      </c>
    </row>
    <row r="112" spans="2:6">
      <c r="B112" s="1" t="s">
        <v>309</v>
      </c>
      <c r="C112" s="1" t="s">
        <v>310</v>
      </c>
      <c r="D112" s="1" t="s">
        <v>183</v>
      </c>
      <c r="E112" s="1">
        <v>1988</v>
      </c>
      <c r="F112" s="1" t="s">
        <v>15</v>
      </c>
    </row>
    <row r="113" spans="2:6">
      <c r="B113" s="1" t="s">
        <v>311</v>
      </c>
      <c r="C113" s="1" t="s">
        <v>312</v>
      </c>
      <c r="D113" s="1" t="s">
        <v>59</v>
      </c>
      <c r="E113" s="1">
        <v>1991</v>
      </c>
      <c r="F113" s="1" t="s">
        <v>15</v>
      </c>
    </row>
    <row r="114" spans="2:6">
      <c r="B114" s="1" t="s">
        <v>313</v>
      </c>
      <c r="C114" s="1" t="s">
        <v>314</v>
      </c>
      <c r="D114" s="1" t="s">
        <v>81</v>
      </c>
      <c r="E114" s="1">
        <v>1990</v>
      </c>
      <c r="F114" s="1" t="s">
        <v>13</v>
      </c>
    </row>
    <row r="115" spans="2:6">
      <c r="B115" s="1" t="s">
        <v>315</v>
      </c>
      <c r="C115" s="1" t="s">
        <v>316</v>
      </c>
      <c r="D115" s="1" t="s">
        <v>55</v>
      </c>
      <c r="E115" s="1">
        <v>1992</v>
      </c>
      <c r="F115" s="1" t="s">
        <v>13</v>
      </c>
    </row>
    <row r="116" spans="2:6">
      <c r="B116" s="1" t="s">
        <v>317</v>
      </c>
      <c r="C116" s="1" t="s">
        <v>318</v>
      </c>
      <c r="D116" s="1" t="s">
        <v>55</v>
      </c>
      <c r="E116" s="1">
        <v>1990</v>
      </c>
      <c r="F116" s="1" t="s">
        <v>13</v>
      </c>
    </row>
    <row r="117" spans="2:6">
      <c r="B117" s="1" t="s">
        <v>319</v>
      </c>
      <c r="C117" s="1" t="s">
        <v>320</v>
      </c>
      <c r="D117" s="1" t="s">
        <v>40</v>
      </c>
      <c r="E117" s="1">
        <v>1987</v>
      </c>
      <c r="F117" s="1" t="s">
        <v>15</v>
      </c>
    </row>
    <row r="118" spans="2:6">
      <c r="B118" t="s">
        <v>321</v>
      </c>
      <c r="C118" s="1" t="s">
        <v>322</v>
      </c>
      <c r="D118" s="1" t="s">
        <v>129</v>
      </c>
      <c r="E118" s="1">
        <v>1987</v>
      </c>
      <c r="F118" s="1" t="s">
        <v>15</v>
      </c>
    </row>
    <row r="119" spans="2:6">
      <c r="B119" s="1" t="s">
        <v>323</v>
      </c>
      <c r="C119" s="1" t="s">
        <v>324</v>
      </c>
      <c r="D119" s="1" t="s">
        <v>89</v>
      </c>
      <c r="E119" s="1">
        <v>1988</v>
      </c>
      <c r="F119" s="1" t="s">
        <v>15</v>
      </c>
    </row>
    <row r="120" spans="2:6">
      <c r="B120" s="1" t="s">
        <v>325</v>
      </c>
      <c r="C120" s="1" t="s">
        <v>326</v>
      </c>
      <c r="D120" s="1" t="s">
        <v>89</v>
      </c>
      <c r="E120" s="1">
        <v>1990</v>
      </c>
      <c r="F120" s="1" t="s">
        <v>37</v>
      </c>
    </row>
    <row r="121" spans="2:6">
      <c r="B121" s="1" t="s">
        <v>327</v>
      </c>
      <c r="C121" s="1" t="s">
        <v>328</v>
      </c>
      <c r="D121" s="1" t="s">
        <v>146</v>
      </c>
      <c r="E121" s="1">
        <v>1989</v>
      </c>
      <c r="F121" s="1" t="s">
        <v>29</v>
      </c>
    </row>
    <row r="122" spans="2:6">
      <c r="B122" s="1" t="s">
        <v>329</v>
      </c>
      <c r="C122" s="1" t="s">
        <v>330</v>
      </c>
      <c r="D122" s="1" t="s">
        <v>23</v>
      </c>
      <c r="E122" s="1">
        <v>1989</v>
      </c>
      <c r="F122" s="1" t="s">
        <v>35</v>
      </c>
    </row>
    <row r="123" spans="2:6">
      <c r="B123" s="1" t="s">
        <v>331</v>
      </c>
      <c r="C123" s="1" t="s">
        <v>332</v>
      </c>
      <c r="D123" s="1" t="s">
        <v>146</v>
      </c>
      <c r="E123" s="1">
        <v>1989</v>
      </c>
      <c r="F123" s="1" t="s">
        <v>13</v>
      </c>
    </row>
    <row r="124" spans="2:6">
      <c r="B124" s="1" t="s">
        <v>333</v>
      </c>
      <c r="C124" s="1" t="s">
        <v>334</v>
      </c>
      <c r="D124" s="1" t="s">
        <v>146</v>
      </c>
      <c r="E124" s="1">
        <v>1989</v>
      </c>
      <c r="F124" s="1" t="s">
        <v>13</v>
      </c>
    </row>
    <row r="125" spans="2:6">
      <c r="B125" s="1" t="s">
        <v>335</v>
      </c>
      <c r="C125" s="1" t="s">
        <v>336</v>
      </c>
      <c r="D125" s="1" t="s">
        <v>36</v>
      </c>
      <c r="E125" s="1">
        <v>1989</v>
      </c>
      <c r="F125" s="1" t="s">
        <v>19</v>
      </c>
    </row>
    <row r="126" spans="2:6">
      <c r="B126" s="1" t="s">
        <v>337</v>
      </c>
      <c r="C126" s="1" t="s">
        <v>338</v>
      </c>
      <c r="D126" s="1" t="s">
        <v>194</v>
      </c>
      <c r="E126" s="1">
        <v>1991</v>
      </c>
      <c r="F126" s="1" t="s">
        <v>19</v>
      </c>
    </row>
    <row r="127" spans="2:6">
      <c r="B127" s="1" t="s">
        <v>339</v>
      </c>
      <c r="C127" s="1" t="s">
        <v>340</v>
      </c>
      <c r="D127" s="1" t="s">
        <v>63</v>
      </c>
      <c r="E127" s="1">
        <v>1988</v>
      </c>
      <c r="F127" s="1" t="s">
        <v>13</v>
      </c>
    </row>
    <row r="128" spans="2:6">
      <c r="B128" s="1" t="s">
        <v>341</v>
      </c>
      <c r="C128" s="1" t="s">
        <v>342</v>
      </c>
      <c r="D128" s="1" t="s">
        <v>24</v>
      </c>
      <c r="E128" s="1">
        <v>1993</v>
      </c>
      <c r="F128" s="1" t="s">
        <v>31</v>
      </c>
    </row>
    <row r="129" spans="2:6">
      <c r="B129" s="1" t="s">
        <v>343</v>
      </c>
      <c r="C129" s="1" t="s">
        <v>344</v>
      </c>
      <c r="D129" s="1" t="s">
        <v>24</v>
      </c>
      <c r="E129" s="1">
        <v>1995</v>
      </c>
      <c r="F129" s="1" t="s">
        <v>31</v>
      </c>
    </row>
    <row r="130" spans="2:6">
      <c r="B130" s="1" t="s">
        <v>345</v>
      </c>
      <c r="C130" s="1" t="s">
        <v>346</v>
      </c>
      <c r="D130" s="1" t="s">
        <v>197</v>
      </c>
      <c r="E130" s="1">
        <v>1986</v>
      </c>
      <c r="F130" s="1" t="s">
        <v>19</v>
      </c>
    </row>
    <row r="131" spans="2:6">
      <c r="B131" s="1" t="s">
        <v>347</v>
      </c>
      <c r="C131" s="1" t="s">
        <v>348</v>
      </c>
      <c r="D131" s="1" t="s">
        <v>89</v>
      </c>
      <c r="E131" s="1">
        <v>1991</v>
      </c>
      <c r="F131" s="1" t="s">
        <v>35</v>
      </c>
    </row>
    <row r="132" spans="2:6">
      <c r="B132" s="1" t="s">
        <v>349</v>
      </c>
      <c r="C132" s="1" t="s">
        <v>350</v>
      </c>
      <c r="D132" s="1" t="s">
        <v>146</v>
      </c>
      <c r="E132" s="1">
        <v>1989</v>
      </c>
      <c r="F132" s="1" t="s">
        <v>19</v>
      </c>
    </row>
    <row r="133" spans="2:6">
      <c r="B133" s="1" t="s">
        <v>351</v>
      </c>
      <c r="C133" s="1" t="s">
        <v>352</v>
      </c>
      <c r="D133" s="1" t="s">
        <v>63</v>
      </c>
      <c r="E133" s="1">
        <v>1988</v>
      </c>
      <c r="F133" s="1" t="s">
        <v>35</v>
      </c>
    </row>
    <row r="134" spans="2:6">
      <c r="B134" s="1" t="s">
        <v>353</v>
      </c>
      <c r="C134" s="1" t="s">
        <v>353</v>
      </c>
      <c r="D134" s="1" t="s">
        <v>149</v>
      </c>
      <c r="E134" s="1">
        <v>1990</v>
      </c>
      <c r="F134" s="1" t="s">
        <v>31</v>
      </c>
    </row>
    <row r="135" spans="2:6">
      <c r="B135" s="1" t="s">
        <v>354</v>
      </c>
      <c r="C135" s="1" t="s">
        <v>355</v>
      </c>
      <c r="D135" s="1" t="s">
        <v>64</v>
      </c>
      <c r="E135" s="1">
        <v>1991</v>
      </c>
      <c r="F135" s="1" t="s">
        <v>46</v>
      </c>
    </row>
    <row r="136" spans="2:6">
      <c r="B136" s="1" t="s">
        <v>356</v>
      </c>
      <c r="C136" s="1" t="s">
        <v>357</v>
      </c>
      <c r="D136" s="1" t="s">
        <v>140</v>
      </c>
      <c r="E136" s="1">
        <v>1988</v>
      </c>
      <c r="F136" s="1" t="s">
        <v>29</v>
      </c>
    </row>
    <row r="137" spans="2:6">
      <c r="B137" s="1" t="s">
        <v>358</v>
      </c>
      <c r="C137" s="1" t="s">
        <v>359</v>
      </c>
      <c r="D137" s="1" t="s">
        <v>186</v>
      </c>
      <c r="E137" s="1">
        <v>1992</v>
      </c>
      <c r="F137" s="1" t="s">
        <v>19</v>
      </c>
    </row>
    <row r="138" spans="2:6">
      <c r="B138" s="1" t="s">
        <v>360</v>
      </c>
      <c r="C138" s="1" t="s">
        <v>361</v>
      </c>
      <c r="D138" s="1" t="s">
        <v>186</v>
      </c>
      <c r="E138" s="1">
        <v>1995</v>
      </c>
      <c r="F138" s="1" t="s">
        <v>19</v>
      </c>
    </row>
    <row r="139" spans="2:6">
      <c r="B139" s="1" t="s">
        <v>362</v>
      </c>
      <c r="C139" s="1" t="s">
        <v>363</v>
      </c>
      <c r="D139" s="1" t="s">
        <v>63</v>
      </c>
      <c r="E139" s="1">
        <v>1990</v>
      </c>
      <c r="F139" s="1" t="s">
        <v>21</v>
      </c>
    </row>
    <row r="140" spans="2:6">
      <c r="B140" s="1" t="s">
        <v>364</v>
      </c>
      <c r="C140" s="1" t="s">
        <v>365</v>
      </c>
      <c r="D140" s="1" t="s">
        <v>23</v>
      </c>
      <c r="E140" s="1">
        <v>1986</v>
      </c>
      <c r="F140" s="1" t="s">
        <v>19</v>
      </c>
    </row>
    <row r="141" spans="2:6">
      <c r="B141" s="1" t="s">
        <v>366</v>
      </c>
      <c r="C141" s="1" t="s">
        <v>367</v>
      </c>
      <c r="D141" s="1" t="s">
        <v>14</v>
      </c>
      <c r="E141" s="1">
        <v>1992</v>
      </c>
      <c r="F141" s="1" t="s">
        <v>19</v>
      </c>
    </row>
    <row r="142" spans="2:6">
      <c r="B142" s="1" t="s">
        <v>368</v>
      </c>
      <c r="C142" s="1" t="s">
        <v>369</v>
      </c>
      <c r="D142" s="1" t="s">
        <v>14</v>
      </c>
      <c r="E142" s="1">
        <v>1991</v>
      </c>
      <c r="F142" s="1" t="s">
        <v>19</v>
      </c>
    </row>
    <row r="143" spans="2:6">
      <c r="B143" s="1" t="s">
        <v>370</v>
      </c>
      <c r="C143" s="1" t="s">
        <v>371</v>
      </c>
      <c r="D143" s="1" t="s">
        <v>159</v>
      </c>
      <c r="E143" s="1">
        <v>1992</v>
      </c>
      <c r="F143" s="1" t="s">
        <v>56</v>
      </c>
    </row>
    <row r="144" spans="2:6">
      <c r="B144" s="1" t="s">
        <v>372</v>
      </c>
      <c r="C144" s="1" t="s">
        <v>373</v>
      </c>
      <c r="D144" s="1" t="s">
        <v>218</v>
      </c>
      <c r="E144" s="1">
        <v>1992</v>
      </c>
      <c r="F144" s="1" t="s">
        <v>31</v>
      </c>
    </row>
    <row r="145" spans="2:6">
      <c r="B145" s="1" t="s">
        <v>374</v>
      </c>
      <c r="C145" s="1" t="s">
        <v>375</v>
      </c>
      <c r="D145" s="1" t="s">
        <v>45</v>
      </c>
      <c r="E145" s="1">
        <v>1993</v>
      </c>
      <c r="F145" s="1" t="s">
        <v>56</v>
      </c>
    </row>
    <row r="146" spans="2:6">
      <c r="B146" s="1" t="s">
        <v>376</v>
      </c>
      <c r="C146" s="1" t="s">
        <v>377</v>
      </c>
      <c r="D146" s="1" t="s">
        <v>140</v>
      </c>
      <c r="E146" s="1">
        <v>1990</v>
      </c>
      <c r="F146" s="1" t="s">
        <v>31</v>
      </c>
    </row>
    <row r="147" spans="2:6">
      <c r="B147" s="1" t="s">
        <v>378</v>
      </c>
      <c r="C147" s="1" t="s">
        <v>379</v>
      </c>
      <c r="D147" s="1" t="s">
        <v>180</v>
      </c>
      <c r="E147" s="1">
        <v>1987</v>
      </c>
      <c r="F147" s="1" t="s">
        <v>25</v>
      </c>
    </row>
    <row r="148" spans="2:6">
      <c r="B148" s="1" t="s">
        <v>380</v>
      </c>
      <c r="C148" s="1" t="s">
        <v>381</v>
      </c>
      <c r="D148" s="1" t="s">
        <v>208</v>
      </c>
      <c r="E148" s="1">
        <v>1988</v>
      </c>
      <c r="F148" s="1" t="s">
        <v>13</v>
      </c>
    </row>
    <row r="149" spans="2:6">
      <c r="B149" s="1" t="s">
        <v>382</v>
      </c>
      <c r="C149" s="1" t="s">
        <v>383</v>
      </c>
      <c r="D149" s="1" t="s">
        <v>81</v>
      </c>
      <c r="E149" s="1">
        <v>1991</v>
      </c>
      <c r="F149" s="1" t="s">
        <v>13</v>
      </c>
    </row>
    <row r="150" spans="2:6">
      <c r="B150" s="1" t="s">
        <v>384</v>
      </c>
      <c r="C150" s="1" t="s">
        <v>385</v>
      </c>
      <c r="D150" s="1" t="s">
        <v>34</v>
      </c>
      <c r="E150" s="1">
        <v>1991</v>
      </c>
      <c r="F150" s="1" t="s">
        <v>13</v>
      </c>
    </row>
    <row r="151" spans="2:6">
      <c r="B151" s="1" t="s">
        <v>386</v>
      </c>
      <c r="C151" s="1" t="s">
        <v>387</v>
      </c>
      <c r="D151" s="1" t="s">
        <v>208</v>
      </c>
      <c r="E151" s="1">
        <v>1989</v>
      </c>
      <c r="F151" s="1" t="s">
        <v>31</v>
      </c>
    </row>
    <row r="152" spans="2:6">
      <c r="B152" s="1" t="s">
        <v>388</v>
      </c>
      <c r="C152" s="1" t="s">
        <v>389</v>
      </c>
      <c r="D152" s="1" t="s">
        <v>89</v>
      </c>
      <c r="E152" s="1">
        <v>1991</v>
      </c>
      <c r="F152" s="1" t="s">
        <v>15</v>
      </c>
    </row>
    <row r="153" spans="2:6">
      <c r="B153" s="1" t="s">
        <v>390</v>
      </c>
      <c r="C153" s="1" t="s">
        <v>391</v>
      </c>
      <c r="D153" s="1" t="s">
        <v>55</v>
      </c>
      <c r="E153" s="1">
        <v>1989</v>
      </c>
      <c r="F153" s="1" t="s">
        <v>35</v>
      </c>
    </row>
    <row r="154" spans="2:6">
      <c r="B154" s="1" t="s">
        <v>392</v>
      </c>
      <c r="C154" s="1" t="s">
        <v>393</v>
      </c>
      <c r="D154" s="1" t="s">
        <v>105</v>
      </c>
      <c r="E154" s="1">
        <v>1992</v>
      </c>
      <c r="F154" s="1" t="s">
        <v>19</v>
      </c>
    </row>
    <row r="155" spans="2:6">
      <c r="B155" s="1" t="s">
        <v>394</v>
      </c>
      <c r="C155" s="1" t="s">
        <v>395</v>
      </c>
      <c r="D155" s="1" t="s">
        <v>23</v>
      </c>
      <c r="E155" s="1">
        <v>1986</v>
      </c>
      <c r="F155" s="1" t="s">
        <v>19</v>
      </c>
    </row>
    <row r="156" spans="2:6">
      <c r="B156" s="1" t="s">
        <v>396</v>
      </c>
      <c r="C156" s="1" t="s">
        <v>397</v>
      </c>
      <c r="D156" s="1" t="s">
        <v>23</v>
      </c>
      <c r="E156" s="1">
        <v>1988</v>
      </c>
      <c r="F156" s="1" t="s">
        <v>19</v>
      </c>
    </row>
    <row r="157" spans="2:6">
      <c r="B157" s="1" t="s">
        <v>398</v>
      </c>
      <c r="C157" s="1" t="s">
        <v>397</v>
      </c>
      <c r="D157" s="1" t="s">
        <v>23</v>
      </c>
      <c r="E157" s="1">
        <v>1987</v>
      </c>
      <c r="F157" s="1" t="s">
        <v>19</v>
      </c>
    </row>
    <row r="158" spans="2:6">
      <c r="B158" s="1" t="s">
        <v>399</v>
      </c>
      <c r="C158" s="1" t="s">
        <v>400</v>
      </c>
      <c r="D158" s="1" t="s">
        <v>189</v>
      </c>
      <c r="E158" s="1">
        <v>1990</v>
      </c>
      <c r="F158" s="1" t="s">
        <v>13</v>
      </c>
    </row>
    <row r="159" spans="2:6">
      <c r="B159" s="1" t="s">
        <v>401</v>
      </c>
      <c r="C159" s="1" t="s">
        <v>402</v>
      </c>
      <c r="D159" s="1" t="s">
        <v>59</v>
      </c>
      <c r="E159" s="1">
        <v>1996</v>
      </c>
      <c r="F159" s="1" t="s">
        <v>35</v>
      </c>
    </row>
    <row r="160" spans="2:6">
      <c r="B160" s="1" t="s">
        <v>403</v>
      </c>
      <c r="C160" s="1" t="s">
        <v>404</v>
      </c>
      <c r="D160" s="1" t="s">
        <v>221</v>
      </c>
      <c r="E160" s="1">
        <v>2017</v>
      </c>
      <c r="F160" s="1" t="s">
        <v>31</v>
      </c>
    </row>
    <row r="161" spans="2:6">
      <c r="B161" s="1" t="s">
        <v>405</v>
      </c>
      <c r="C161" s="1" t="s">
        <v>406</v>
      </c>
      <c r="D161" s="1" t="s">
        <v>221</v>
      </c>
      <c r="E161" s="1">
        <v>2022</v>
      </c>
      <c r="F161" s="1" t="s">
        <v>31</v>
      </c>
    </row>
    <row r="162" spans="2:6">
      <c r="B162" s="1" t="s">
        <v>407</v>
      </c>
      <c r="C162" s="1" t="s">
        <v>408</v>
      </c>
      <c r="D162" s="1" t="s">
        <v>224</v>
      </c>
      <c r="E162" s="1">
        <v>2020</v>
      </c>
      <c r="F162" s="1" t="s">
        <v>31</v>
      </c>
    </row>
    <row r="163" spans="2:6">
      <c r="B163" s="1" t="s">
        <v>409</v>
      </c>
      <c r="C163" s="1" t="s">
        <v>410</v>
      </c>
      <c r="D163" s="1" t="s">
        <v>224</v>
      </c>
      <c r="E163" s="1">
        <v>2023</v>
      </c>
      <c r="F163" s="1" t="s">
        <v>31</v>
      </c>
    </row>
    <row r="164" spans="2:6">
      <c r="B164" s="1" t="s">
        <v>411</v>
      </c>
      <c r="C164" s="1" t="s">
        <v>412</v>
      </c>
      <c r="D164" s="1" t="s">
        <v>224</v>
      </c>
      <c r="E164" s="1">
        <v>2025</v>
      </c>
      <c r="F164" s="1" t="s">
        <v>31</v>
      </c>
    </row>
    <row r="165" spans="2:6">
      <c r="B165" s="1" t="s">
        <v>413</v>
      </c>
      <c r="C165" s="1" t="s">
        <v>414</v>
      </c>
      <c r="D165" s="1" t="s">
        <v>221</v>
      </c>
      <c r="E165" s="1">
        <v>2020</v>
      </c>
      <c r="F165" s="1" t="s">
        <v>31</v>
      </c>
    </row>
  </sheetData>
  <sortState xmlns:xlrd2="http://schemas.microsoft.com/office/spreadsheetml/2017/richdata2" ref="B1:E2">
    <sortCondition ref="D2"/>
  </sortState>
  <dataValidations count="2">
    <dataValidation type="list" allowBlank="1" showInputMessage="1" showErrorMessage="1" sqref="D2:D165 I2" xr:uid="{00000000-0002-0000-0100-000000000000}">
      <formula1>$I$2:$I$69</formula1>
    </dataValidation>
    <dataValidation type="list" allowBlank="1" showInputMessage="1" showErrorMessage="1" sqref="F2:F165" xr:uid="{00000000-0002-0000-0100-000001000000}">
      <formula1>$M$2:$M$13</formula1>
    </dataValidation>
  </dataValidations>
  <pageMargins left="0.7" right="0.7" top="0.75" bottom="0.75" header="0.3" footer="0.3"/>
  <pageSetup paperSize="9" orientation="portrait" verticalDpi="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acabrera</dc:creator>
  <cp:keywords/>
  <dc:description/>
  <cp:lastModifiedBy/>
  <cp:revision/>
  <dcterms:created xsi:type="dcterms:W3CDTF">2022-03-21T00:29:16Z</dcterms:created>
  <dcterms:modified xsi:type="dcterms:W3CDTF">2026-08-24T01:47:19Z</dcterms:modified>
  <cp:category/>
  <cp:contentStatus/>
</cp:coreProperties>
</file>